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1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2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3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4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5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6.xml" ContentType="application/vnd.openxmlformats-officedocument.themeOverride+xml"/>
  <Override PartName="/xl/drawings/drawing6.xml" ContentType="application/vnd.openxmlformats-officedocument.drawing+xml"/>
  <Override PartName="/xl/ctrlProps/ctrlProp9.xml" ContentType="application/vnd.ms-excel.controlproperties+xml"/>
  <Override PartName="/xl/comments2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7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8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9.xml" ContentType="application/vnd.openxmlformats-officedocument.themeOverrid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0.xml" ContentType="application/vnd.openxmlformats-officedocument.themeOverrid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1.xml" ContentType="application/vnd.openxmlformats-officedocument.themeOverrid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2.xml" ContentType="application/vnd.openxmlformats-officedocument.themeOverride+xml"/>
  <Override PartName="/xl/drawings/drawing7.xml" ContentType="application/vnd.openxmlformats-officedocument.drawing+xml"/>
  <Override PartName="/xl/ctrlProps/ctrlProp10.xml" ContentType="application/vnd.ms-excel.controlproperties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13.xml" ContentType="application/vnd.openxmlformats-officedocument.themeOverrid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4.xml" ContentType="application/vnd.openxmlformats-officedocument.themeOverrid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15.xml" ContentType="application/vnd.openxmlformats-officedocument.themeOverrid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6.xml" ContentType="application/vnd.openxmlformats-officedocument.themeOverrid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7.xml" ContentType="application/vnd.openxmlformats-officedocument.themeOverrid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8.xml" ContentType="application/vnd.openxmlformats-officedocument.themeOverride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aron.beach\Dropbox\Kayak 2019-2020\NSWIS 2020 competitions\GP2\Excel Files\"/>
    </mc:Choice>
  </mc:AlternateContent>
  <xr:revisionPtr revIDLastSave="0" documentId="13_ncr:3_{1244BB1D-9D14-4390-811F-6DD17F3FFA82}" xr6:coauthVersionLast="45" xr6:coauthVersionMax="45" xr10:uidLastSave="{00000000-0000-0000-0000-000000000000}"/>
  <bookViews>
    <workbookView xWindow="-108" yWindow="-108" windowWidth="23256" windowHeight="12576" tabRatio="758" activeTab="4" xr2:uid="{00000000-000D-0000-FFFF-FFFF00000000}"/>
  </bookViews>
  <sheets>
    <sheet name="Event SetUp" sheetId="10" r:id="rId1"/>
    <sheet name="1" sheetId="11" r:id="rId2"/>
    <sheet name="2" sheetId="12" r:id="rId3"/>
    <sheet name="3" sheetId="15" r:id="rId4"/>
    <sheet name="Rpt-1" sheetId="1" r:id="rId5"/>
    <sheet name="Rpt-2" sheetId="22" r:id="rId6"/>
    <sheet name="Rpt-3" sheetId="23" r:id="rId7"/>
    <sheet name="Lookup Table" sheetId="2" r:id="rId8"/>
    <sheet name="Enviromentals" sheetId="17" r:id="rId9"/>
    <sheet name="Athlete Names" sheetId="20" r:id="rId10"/>
    <sheet name="Performance Times" sheetId="21" r:id="rId11"/>
  </sheets>
  <functionGroups builtInGroupCount="19"/>
  <definedNames>
    <definedName name="_TMAutoChart1Names" localSheetId="1" hidden="1">{"Race Profile","Chart 2","Raw Data Chart 2"}</definedName>
    <definedName name="_TMAutoChart1Names" localSheetId="2" hidden="1">{"Race Profile","Chart 2","Raw Data Chart 2"}</definedName>
    <definedName name="_TMAutoChart1Names" localSheetId="3" hidden="1">{"Race Profile","Chart 2","Raw Data Chart 2"}</definedName>
    <definedName name="_TMAutoChart1Names" localSheetId="0" hidden="1">{"Race Profile","Chart 2","Raw Data Chart 2"}</definedName>
    <definedName name="_TMAutoChart1Names" hidden="1">{"Race Profile","Chart 2","Raw Data Chart 2"}</definedName>
    <definedName name="_TMAutoChart1Refs" localSheetId="1" hidden="1">{"","","'Raw Data'!$M$4","'Raw Data'!$N$4","","","","","'Raw Data'!$M$5","'Raw Data'!$N$5"}</definedName>
    <definedName name="_TMAutoChart1Refs" localSheetId="2" hidden="1">{"","","'Raw Data'!$M$4","'Raw Data'!$N$4","","","","","'Raw Data'!$M$5","'Raw Data'!$N$5"}</definedName>
    <definedName name="_TMAutoChart1Refs" localSheetId="3" hidden="1">{"","","'Raw Data'!$M$4","'Raw Data'!$N$4","","","","","'Raw Data'!$M$5","'Raw Data'!$N$5"}</definedName>
    <definedName name="_TMAutoChart1Refs" localSheetId="0" hidden="1">{"","","'Raw Data'!$M$4","'Raw Data'!$N$4","","","","","'Raw Data'!$M$5","'Raw Data'!$N$5"}</definedName>
    <definedName name="_TMAutoChart1Refs" hidden="1">{"","","'Raw Data'!$M$4","'Raw Data'!$N$4","","","","","'Raw Data'!$M$5","'Raw Data'!$N$5"}</definedName>
    <definedName name="_TMAutoChart2Names" localSheetId="1" hidden="1">{"Race Profile","Chart 15","Raw Data Chart 15"}</definedName>
    <definedName name="_TMAutoChart2Names" localSheetId="2" hidden="1">{"Race Profile","Chart 15","Raw Data Chart 15"}</definedName>
    <definedName name="_TMAutoChart2Names" localSheetId="3" hidden="1">{"Race Profile","Chart 15","Raw Data Chart 15"}</definedName>
    <definedName name="_TMAutoChart2Names" localSheetId="0" hidden="1">{"Race Profile","Chart 15","Raw Data Chart 15"}</definedName>
    <definedName name="_TMAutoChart2Names" hidden="1">{"Race Profile","Chart 15","Raw Data Chart 15"}</definedName>
    <definedName name="_TMAutoChart2Refs" localSheetId="1" hidden="1">{"","","'Raw Data'!$M$6","'Raw Data'!$N$6","","","","","",""}</definedName>
    <definedName name="_TMAutoChart2Refs" localSheetId="2" hidden="1">{"","","'Raw Data'!$M$6","'Raw Data'!$N$6","","","","","",""}</definedName>
    <definedName name="_TMAutoChart2Refs" localSheetId="3" hidden="1">{"","","'Raw Data'!$M$6","'Raw Data'!$N$6","","","","","",""}</definedName>
    <definedName name="_TMAutoChart2Refs" localSheetId="0" hidden="1">{"","","'Raw Data'!$M$6","'Raw Data'!$N$6","","","","","",""}</definedName>
    <definedName name="_TMAutoChart2Refs" hidden="1">{"","","'Raw Data'!$M$6","'Raw Data'!$N$6","","","","","",""}</definedName>
    <definedName name="_TMAutoChartCount" hidden="1">2</definedName>
    <definedName name="AthleteNames">'Athlete Names'!$D$5:$D$43</definedName>
    <definedName name="BooleanValue">'Lookup Table'!$AV$2:$AV$3</definedName>
    <definedName name="_xlnm.Print_Area" localSheetId="1">'1'!$A$1:$O$48</definedName>
    <definedName name="_xlnm.Print_Area" localSheetId="2">'2'!$A$1:$O$48</definedName>
    <definedName name="_xlnm.Print_Area" localSheetId="3">'3'!$A$1:$O$48</definedName>
    <definedName name="_xlnm.Print_Area" localSheetId="4">'Rpt-1'!$A$1:$K$195</definedName>
    <definedName name="_xlnm.Print_Area" localSheetId="5">'Rpt-2'!$A$1:$K$194</definedName>
    <definedName name="_xlnm.Print_Area" localSheetId="6">'Rpt-3'!$A$1:$K$190</definedName>
    <definedName name="SELECT">'Event SetUp'!$D$8</definedName>
    <definedName name="State_Championships">'Event SetUp'!$G$6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4" i="23" l="1"/>
  <c r="P53" i="23"/>
  <c r="P38" i="23"/>
  <c r="P37" i="23"/>
  <c r="P34" i="23"/>
  <c r="P33" i="23"/>
  <c r="P30" i="23"/>
  <c r="P29" i="23"/>
  <c r="P50" i="22"/>
  <c r="P49" i="22"/>
  <c r="P37" i="22"/>
  <c r="P36" i="22"/>
  <c r="P33" i="22"/>
  <c r="P32" i="22"/>
  <c r="O47" i="1"/>
  <c r="K39" i="11" l="1"/>
  <c r="J57" i="11"/>
  <c r="J40" i="11"/>
  <c r="J39" i="11"/>
  <c r="J38" i="11"/>
  <c r="R66" i="23"/>
  <c r="R60" i="23"/>
  <c r="R50" i="23" a="1"/>
  <c r="R44" i="23" a="1"/>
  <c r="R35" i="23" a="1"/>
  <c r="R65" i="23"/>
  <c r="R59" i="23"/>
  <c r="R55" i="23" a="1"/>
  <c r="R63" i="23"/>
  <c r="R62" i="23"/>
  <c r="R56" i="23" a="1"/>
  <c r="R51" i="23" a="1"/>
  <c r="R45" i="23" a="1"/>
  <c r="R36" i="23" a="1"/>
  <c r="R65" i="22"/>
  <c r="R55" i="22"/>
  <c r="R35" i="22" a="1"/>
  <c r="R64" i="22"/>
  <c r="R54" i="22"/>
  <c r="R51" i="22" a="1"/>
  <c r="R47" i="22" a="1"/>
  <c r="R42" i="22" a="1"/>
  <c r="R60" i="22"/>
  <c r="R34" i="22" a="1"/>
  <c r="R59" i="22"/>
  <c r="R52" i="22" a="1"/>
  <c r="R46" i="22" a="1"/>
  <c r="R41" i="22" a="1"/>
  <c r="Q47" i="1" a="1"/>
  <c r="Q33" i="1" a="1"/>
  <c r="Q66" i="1"/>
  <c r="Q56" i="1"/>
  <c r="Q53" i="1" a="1"/>
  <c r="Q41" i="1" a="1"/>
  <c r="Q61" i="1"/>
  <c r="R38" i="23" a="1"/>
  <c r="R37" i="23" a="1"/>
  <c r="R34" i="23" a="1"/>
  <c r="R33" i="23" a="1"/>
  <c r="R30" i="23"/>
  <c r="R29" i="23"/>
  <c r="R37" i="22"/>
  <c r="R36" i="22" a="1"/>
  <c r="R33" i="22" a="1"/>
  <c r="R32" i="22" a="1"/>
  <c r="R36" i="23" l="1"/>
  <c r="R38" i="23"/>
  <c r="R45" i="23"/>
  <c r="R51" i="23"/>
  <c r="R56" i="23"/>
  <c r="R34" i="23"/>
  <c r="R33" i="23"/>
  <c r="R37" i="23"/>
  <c r="R55" i="23"/>
  <c r="R35" i="23"/>
  <c r="R44" i="23"/>
  <c r="R50" i="23"/>
  <c r="R41" i="22"/>
  <c r="R46" i="22"/>
  <c r="R52" i="22"/>
  <c r="R32" i="22"/>
  <c r="R34" i="22"/>
  <c r="R36" i="22"/>
  <c r="R42" i="22"/>
  <c r="R47" i="22"/>
  <c r="R51" i="22"/>
  <c r="R33" i="22"/>
  <c r="R35" i="22"/>
  <c r="Q41" i="1"/>
  <c r="Q53" i="1"/>
  <c r="Q33" i="1"/>
  <c r="Q47" i="1"/>
  <c r="E65" i="23"/>
  <c r="E60" i="23"/>
  <c r="E55" i="23"/>
  <c r="E50" i="23"/>
  <c r="E65" i="22"/>
  <c r="E60" i="22"/>
  <c r="E55" i="22"/>
  <c r="E50" i="22"/>
  <c r="N58" i="15" l="1"/>
  <c r="M58" i="15"/>
  <c r="L58" i="15"/>
  <c r="P57" i="15"/>
  <c r="N57" i="15"/>
  <c r="M57" i="15"/>
  <c r="L57" i="15"/>
  <c r="K57" i="15"/>
  <c r="J57" i="15"/>
  <c r="N56" i="15"/>
  <c r="M56" i="15"/>
  <c r="P56" i="15" s="1"/>
  <c r="L56" i="15"/>
  <c r="K56" i="15"/>
  <c r="J56" i="15"/>
  <c r="P55" i="15"/>
  <c r="N55" i="15"/>
  <c r="M55" i="15"/>
  <c r="L55" i="15"/>
  <c r="K55" i="15"/>
  <c r="J55" i="15"/>
  <c r="N54" i="15"/>
  <c r="M54" i="15"/>
  <c r="P54" i="15" s="1"/>
  <c r="L54" i="15"/>
  <c r="K54" i="15"/>
  <c r="J54" i="15"/>
  <c r="P53" i="15"/>
  <c r="N53" i="15"/>
  <c r="M53" i="15"/>
  <c r="L53" i="15"/>
  <c r="K53" i="15"/>
  <c r="J53" i="15"/>
  <c r="N52" i="15"/>
  <c r="M52" i="15"/>
  <c r="P52" i="15" s="1"/>
  <c r="L52" i="15"/>
  <c r="K52" i="15"/>
  <c r="J52" i="15"/>
  <c r="P51" i="15"/>
  <c r="N51" i="15"/>
  <c r="M51" i="15"/>
  <c r="L51" i="15"/>
  <c r="K51" i="15"/>
  <c r="J51" i="15"/>
  <c r="N50" i="15"/>
  <c r="M50" i="15"/>
  <c r="P50" i="15" s="1"/>
  <c r="L50" i="15"/>
  <c r="K50" i="15"/>
  <c r="J50" i="15"/>
  <c r="P49" i="15"/>
  <c r="N49" i="15"/>
  <c r="M49" i="15"/>
  <c r="L49" i="15"/>
  <c r="K49" i="15"/>
  <c r="J49" i="15"/>
  <c r="N48" i="15"/>
  <c r="M48" i="15"/>
  <c r="P48" i="15" s="1"/>
  <c r="L48" i="15"/>
  <c r="K48" i="15"/>
  <c r="J48" i="15"/>
  <c r="P47" i="15"/>
  <c r="N47" i="15"/>
  <c r="M47" i="15"/>
  <c r="L47" i="15"/>
  <c r="K47" i="15"/>
  <c r="J47" i="15"/>
  <c r="N46" i="15"/>
  <c r="M46" i="15"/>
  <c r="P46" i="15" s="1"/>
  <c r="L46" i="15"/>
  <c r="K46" i="15"/>
  <c r="J46" i="15"/>
  <c r="P45" i="15"/>
  <c r="N45" i="15"/>
  <c r="M45" i="15"/>
  <c r="L45" i="15"/>
  <c r="K45" i="15"/>
  <c r="J45" i="15"/>
  <c r="N44" i="15"/>
  <c r="M44" i="15"/>
  <c r="P44" i="15" s="1"/>
  <c r="L44" i="15"/>
  <c r="K44" i="15"/>
  <c r="J44" i="15"/>
  <c r="P43" i="15"/>
  <c r="N43" i="15"/>
  <c r="M43" i="15"/>
  <c r="L43" i="15"/>
  <c r="K43" i="15"/>
  <c r="J43" i="15"/>
  <c r="N42" i="15"/>
  <c r="M42" i="15"/>
  <c r="P42" i="15" s="1"/>
  <c r="L42" i="15"/>
  <c r="K42" i="15"/>
  <c r="J42" i="15"/>
  <c r="P41" i="15"/>
  <c r="N41" i="15"/>
  <c r="M41" i="15"/>
  <c r="L41" i="15"/>
  <c r="K41" i="15"/>
  <c r="J41" i="15"/>
  <c r="N40" i="15"/>
  <c r="M40" i="15"/>
  <c r="P40" i="15" s="1"/>
  <c r="L40" i="15"/>
  <c r="K40" i="15"/>
  <c r="J40" i="15"/>
  <c r="P39" i="15"/>
  <c r="N39" i="15"/>
  <c r="M39" i="15"/>
  <c r="L39" i="15"/>
  <c r="K39" i="15"/>
  <c r="J39" i="15"/>
  <c r="N38" i="15"/>
  <c r="M38" i="15"/>
  <c r="P38" i="15" s="1"/>
  <c r="L38" i="15"/>
  <c r="K38" i="15"/>
  <c r="J38" i="15"/>
  <c r="N37" i="15"/>
  <c r="M37" i="15"/>
  <c r="L37" i="15"/>
  <c r="K37" i="15"/>
  <c r="J37" i="15"/>
  <c r="O36" i="15"/>
  <c r="N36" i="15"/>
  <c r="M36" i="15"/>
  <c r="L36" i="15"/>
  <c r="J36" i="15"/>
  <c r="N58" i="12"/>
  <c r="M58" i="12"/>
  <c r="L58" i="12"/>
  <c r="N57" i="12"/>
  <c r="M57" i="12"/>
  <c r="P57" i="12" s="1"/>
  <c r="L57" i="12"/>
  <c r="K57" i="12"/>
  <c r="J57" i="12"/>
  <c r="N56" i="12"/>
  <c r="M56" i="12"/>
  <c r="P56" i="12" s="1"/>
  <c r="L56" i="12"/>
  <c r="K56" i="12"/>
  <c r="J56" i="12"/>
  <c r="N55" i="12"/>
  <c r="M55" i="12"/>
  <c r="P55" i="12" s="1"/>
  <c r="L55" i="12"/>
  <c r="K55" i="12"/>
  <c r="J55" i="12"/>
  <c r="N54" i="12"/>
  <c r="P54" i="12" s="1"/>
  <c r="M54" i="12"/>
  <c r="L54" i="12"/>
  <c r="K54" i="12"/>
  <c r="J54" i="12"/>
  <c r="N53" i="12"/>
  <c r="M53" i="12"/>
  <c r="P53" i="12" s="1"/>
  <c r="L53" i="12"/>
  <c r="K53" i="12"/>
  <c r="J53" i="12"/>
  <c r="N52" i="12"/>
  <c r="M52" i="12"/>
  <c r="P52" i="12" s="1"/>
  <c r="L52" i="12"/>
  <c r="K52" i="12"/>
  <c r="J52" i="12"/>
  <c r="N51" i="12"/>
  <c r="M51" i="12"/>
  <c r="P51" i="12" s="1"/>
  <c r="L51" i="12"/>
  <c r="K51" i="12"/>
  <c r="J51" i="12"/>
  <c r="N50" i="12"/>
  <c r="M50" i="12"/>
  <c r="P50" i="12" s="1"/>
  <c r="L50" i="12"/>
  <c r="K50" i="12"/>
  <c r="J50" i="12"/>
  <c r="N49" i="12"/>
  <c r="M49" i="12"/>
  <c r="P49" i="12" s="1"/>
  <c r="L49" i="12"/>
  <c r="K49" i="12"/>
  <c r="J49" i="12"/>
  <c r="N48" i="12"/>
  <c r="M48" i="12"/>
  <c r="P48" i="12" s="1"/>
  <c r="L48" i="12"/>
  <c r="K48" i="12"/>
  <c r="J48" i="12"/>
  <c r="N47" i="12"/>
  <c r="M47" i="12"/>
  <c r="P47" i="12" s="1"/>
  <c r="L47" i="12"/>
  <c r="K47" i="12"/>
  <c r="J47" i="12"/>
  <c r="N46" i="12"/>
  <c r="M46" i="12"/>
  <c r="P46" i="12" s="1"/>
  <c r="L46" i="12"/>
  <c r="K46" i="12"/>
  <c r="J46" i="12"/>
  <c r="N45" i="12"/>
  <c r="M45" i="12"/>
  <c r="P45" i="12" s="1"/>
  <c r="L45" i="12"/>
  <c r="K45" i="12"/>
  <c r="J45" i="12"/>
  <c r="N44" i="12"/>
  <c r="M44" i="12"/>
  <c r="P44" i="12" s="1"/>
  <c r="L44" i="12"/>
  <c r="K44" i="12"/>
  <c r="J44" i="12"/>
  <c r="N43" i="12"/>
  <c r="M43" i="12"/>
  <c r="P43" i="12" s="1"/>
  <c r="L43" i="12"/>
  <c r="K43" i="12"/>
  <c r="J43" i="12"/>
  <c r="N42" i="12"/>
  <c r="M42" i="12"/>
  <c r="P42" i="12" s="1"/>
  <c r="L42" i="12"/>
  <c r="K42" i="12"/>
  <c r="J42" i="12"/>
  <c r="N41" i="12"/>
  <c r="M41" i="12"/>
  <c r="P41" i="12" s="1"/>
  <c r="L41" i="12"/>
  <c r="K41" i="12"/>
  <c r="J41" i="12"/>
  <c r="N40" i="12"/>
  <c r="M40" i="12"/>
  <c r="P40" i="12" s="1"/>
  <c r="L40" i="12"/>
  <c r="K40" i="12"/>
  <c r="J40" i="12"/>
  <c r="N39" i="12"/>
  <c r="M39" i="12"/>
  <c r="P39" i="12" s="1"/>
  <c r="L39" i="12"/>
  <c r="K39" i="12"/>
  <c r="J39" i="12"/>
  <c r="N38" i="12"/>
  <c r="M38" i="12"/>
  <c r="P38" i="12" s="1"/>
  <c r="L38" i="12"/>
  <c r="K38" i="12"/>
  <c r="J38" i="12"/>
  <c r="N37" i="12"/>
  <c r="M37" i="12"/>
  <c r="L37" i="12"/>
  <c r="K37" i="12"/>
  <c r="J37" i="12"/>
  <c r="O36" i="12"/>
  <c r="N36" i="12"/>
  <c r="M36" i="12"/>
  <c r="L36" i="12"/>
  <c r="J36" i="12"/>
  <c r="N58" i="11"/>
  <c r="M58" i="11"/>
  <c r="L58" i="11"/>
  <c r="N57" i="11"/>
  <c r="L57" i="11"/>
  <c r="M57" i="11" s="1"/>
  <c r="K57" i="11"/>
  <c r="N56" i="11"/>
  <c r="L56" i="11"/>
  <c r="M56" i="11" s="1"/>
  <c r="K56" i="11"/>
  <c r="J56" i="11"/>
  <c r="N55" i="11"/>
  <c r="L55" i="11"/>
  <c r="M55" i="11" s="1"/>
  <c r="K55" i="11"/>
  <c r="J55" i="11"/>
  <c r="N54" i="11"/>
  <c r="L54" i="11"/>
  <c r="M54" i="11" s="1"/>
  <c r="K54" i="11"/>
  <c r="J54" i="11"/>
  <c r="N53" i="11"/>
  <c r="L53" i="11"/>
  <c r="M53" i="11" s="1"/>
  <c r="K53" i="11"/>
  <c r="J53" i="11"/>
  <c r="N52" i="11"/>
  <c r="L52" i="11"/>
  <c r="M52" i="11" s="1"/>
  <c r="K52" i="11"/>
  <c r="J52" i="11"/>
  <c r="N51" i="11"/>
  <c r="L51" i="11"/>
  <c r="M51" i="11" s="1"/>
  <c r="K51" i="11"/>
  <c r="J51" i="11"/>
  <c r="N50" i="11"/>
  <c r="L50" i="11"/>
  <c r="M50" i="11" s="1"/>
  <c r="K50" i="11"/>
  <c r="J50" i="11"/>
  <c r="N49" i="11"/>
  <c r="L49" i="11"/>
  <c r="M49" i="11" s="1"/>
  <c r="K49" i="11"/>
  <c r="J49" i="11"/>
  <c r="N48" i="11"/>
  <c r="L48" i="11"/>
  <c r="M48" i="11" s="1"/>
  <c r="K48" i="11"/>
  <c r="J48" i="11"/>
  <c r="N47" i="11"/>
  <c r="L47" i="11"/>
  <c r="M47" i="11" s="1"/>
  <c r="K47" i="11"/>
  <c r="J47" i="11"/>
  <c r="N46" i="11"/>
  <c r="L46" i="11"/>
  <c r="M46" i="11" s="1"/>
  <c r="K46" i="11"/>
  <c r="J46" i="11"/>
  <c r="N45" i="11"/>
  <c r="L45" i="11"/>
  <c r="M45" i="11" s="1"/>
  <c r="K45" i="11"/>
  <c r="J45" i="11"/>
  <c r="N44" i="11"/>
  <c r="L44" i="11"/>
  <c r="M44" i="11" s="1"/>
  <c r="K44" i="11"/>
  <c r="J44" i="11"/>
  <c r="N43" i="11"/>
  <c r="L43" i="11"/>
  <c r="M43" i="11" s="1"/>
  <c r="K43" i="11"/>
  <c r="J43" i="11"/>
  <c r="N42" i="11"/>
  <c r="L42" i="11"/>
  <c r="M42" i="11" s="1"/>
  <c r="K42" i="11"/>
  <c r="J42" i="11"/>
  <c r="N41" i="11"/>
  <c r="L41" i="11"/>
  <c r="M41" i="11" s="1"/>
  <c r="K41" i="11"/>
  <c r="J41" i="11"/>
  <c r="N40" i="11"/>
  <c r="L40" i="11"/>
  <c r="M40" i="11" s="1"/>
  <c r="K40" i="11"/>
  <c r="N39" i="11"/>
  <c r="L39" i="11"/>
  <c r="M39" i="11" s="1"/>
  <c r="N38" i="11"/>
  <c r="L38" i="11"/>
  <c r="M38" i="11" s="1"/>
  <c r="K38" i="11"/>
  <c r="N37" i="11"/>
  <c r="M37" i="11"/>
  <c r="L37" i="11"/>
  <c r="K37" i="11"/>
  <c r="J37" i="11"/>
  <c r="O36" i="11"/>
  <c r="N36" i="11"/>
  <c r="M36" i="11"/>
  <c r="L36" i="11"/>
  <c r="J36" i="11"/>
  <c r="P38" i="11" l="1"/>
  <c r="P40" i="11"/>
  <c r="P46" i="11"/>
  <c r="P39" i="11"/>
  <c r="P51" i="11"/>
  <c r="P52" i="11"/>
  <c r="P53" i="11"/>
  <c r="P54" i="11"/>
  <c r="P41" i="11"/>
  <c r="P42" i="11"/>
  <c r="P47" i="11"/>
  <c r="P48" i="11"/>
  <c r="P49" i="11"/>
  <c r="P43" i="11"/>
  <c r="P44" i="11"/>
  <c r="P45" i="11"/>
  <c r="P50" i="11"/>
  <c r="P55" i="11"/>
  <c r="P56" i="11"/>
  <c r="P57" i="11"/>
  <c r="C23" i="10"/>
  <c r="M2" i="1" l="1"/>
  <c r="D5" i="20" l="1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9" i="1" l="1"/>
  <c r="J5" i="1"/>
  <c r="J5" i="23"/>
  <c r="J5" i="22"/>
  <c r="D9" i="22"/>
  <c r="D9" i="23"/>
  <c r="M2" i="23" l="1"/>
  <c r="M2" i="22"/>
  <c r="A5" i="1"/>
  <c r="C5" i="1"/>
  <c r="E5" i="1"/>
  <c r="G5" i="1"/>
  <c r="B7" i="1"/>
  <c r="D7" i="1"/>
  <c r="F7" i="1"/>
  <c r="H7" i="1"/>
  <c r="J7" i="1"/>
  <c r="I9" i="1"/>
  <c r="C12" i="1"/>
  <c r="A5" i="22"/>
  <c r="C5" i="22"/>
  <c r="E5" i="22"/>
  <c r="G5" i="22"/>
  <c r="B7" i="22"/>
  <c r="D7" i="22"/>
  <c r="F7" i="22"/>
  <c r="H7" i="22"/>
  <c r="J7" i="22"/>
  <c r="I9" i="22"/>
  <c r="C12" i="22"/>
  <c r="E12" i="22" l="1"/>
  <c r="E12" i="1"/>
  <c r="F65" i="1" l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65" i="23"/>
  <c r="F64" i="23"/>
  <c r="F63" i="23"/>
  <c r="F62" i="23"/>
  <c r="F61" i="23"/>
  <c r="F60" i="23"/>
  <c r="F59" i="23"/>
  <c r="F58" i="23"/>
  <c r="F57" i="23"/>
  <c r="F56" i="23"/>
  <c r="F55" i="23"/>
  <c r="F54" i="23"/>
  <c r="F53" i="23"/>
  <c r="F52" i="23"/>
  <c r="F51" i="23"/>
  <c r="F50" i="23"/>
  <c r="F49" i="23"/>
  <c r="F48" i="23"/>
  <c r="F47" i="23"/>
  <c r="F46" i="23"/>
  <c r="C12" i="23"/>
  <c r="J7" i="23"/>
  <c r="H7" i="23"/>
  <c r="F7" i="23"/>
  <c r="D7" i="23"/>
  <c r="B7" i="23"/>
  <c r="I9" i="23"/>
  <c r="F66" i="23" l="1"/>
  <c r="A102" i="23"/>
  <c r="I100" i="23"/>
  <c r="I98" i="23"/>
  <c r="H98" i="23"/>
  <c r="J97" i="23"/>
  <c r="I97" i="23"/>
  <c r="A97" i="23"/>
  <c r="J96" i="23"/>
  <c r="I96" i="23"/>
  <c r="H96" i="23"/>
  <c r="A96" i="23"/>
  <c r="F95" i="23"/>
  <c r="E95" i="23"/>
  <c r="D95" i="23"/>
  <c r="C95" i="23"/>
  <c r="B95" i="23"/>
  <c r="A95" i="23"/>
  <c r="G94" i="23"/>
  <c r="E94" i="23"/>
  <c r="C94" i="23"/>
  <c r="A91" i="23"/>
  <c r="I89" i="23"/>
  <c r="I87" i="23"/>
  <c r="H87" i="23"/>
  <c r="J86" i="23"/>
  <c r="I86" i="23"/>
  <c r="A86" i="23"/>
  <c r="J85" i="23"/>
  <c r="I85" i="23"/>
  <c r="H85" i="23"/>
  <c r="A85" i="23"/>
  <c r="E84" i="23"/>
  <c r="D84" i="23"/>
  <c r="C84" i="23"/>
  <c r="B84" i="23"/>
  <c r="A84" i="23"/>
  <c r="G83" i="23"/>
  <c r="E83" i="23"/>
  <c r="C83" i="23"/>
  <c r="G5" i="23"/>
  <c r="E5" i="23"/>
  <c r="C5" i="23"/>
  <c r="A5" i="23"/>
  <c r="E12" i="23" l="1"/>
  <c r="F47" i="22" l="1"/>
  <c r="F48" i="22"/>
  <c r="F49" i="22"/>
  <c r="F50" i="22"/>
  <c r="F51" i="22"/>
  <c r="F52" i="22"/>
  <c r="F53" i="22"/>
  <c r="F54" i="22"/>
  <c r="F55" i="22"/>
  <c r="F56" i="22"/>
  <c r="F57" i="22"/>
  <c r="F58" i="22"/>
  <c r="F59" i="22"/>
  <c r="F60" i="22"/>
  <c r="F61" i="22"/>
  <c r="F62" i="22"/>
  <c r="F63" i="22"/>
  <c r="F64" i="22"/>
  <c r="F65" i="22"/>
  <c r="F46" i="22"/>
  <c r="T13" i="22"/>
  <c r="T13" i="1"/>
  <c r="F66" i="22" l="1"/>
  <c r="O33" i="22" a="1"/>
  <c r="O33" i="22" s="1"/>
  <c r="O32" i="22" a="1"/>
  <c r="O32" i="22" s="1"/>
  <c r="G15" i="10" l="1"/>
  <c r="G14" i="10"/>
  <c r="A71" i="23" l="1"/>
  <c r="A70" i="22"/>
  <c r="A70" i="1"/>
  <c r="D3" i="1"/>
  <c r="D3" i="22"/>
  <c r="D3" i="23"/>
  <c r="E13" i="10"/>
  <c r="H84" i="22" l="1"/>
  <c r="I84" i="22"/>
  <c r="J84" i="22"/>
  <c r="K84" i="22"/>
  <c r="I85" i="22"/>
  <c r="J85" i="22"/>
  <c r="K85" i="22"/>
  <c r="H86" i="22"/>
  <c r="I86" i="22"/>
  <c r="K86" i="22"/>
  <c r="K87" i="22"/>
  <c r="I88" i="22"/>
  <c r="K88" i="22"/>
  <c r="K89" i="22"/>
  <c r="H65" i="23"/>
  <c r="D65" i="23"/>
  <c r="C65" i="23"/>
  <c r="B65" i="23"/>
  <c r="I43" i="23" s="1"/>
  <c r="H64" i="23"/>
  <c r="D64" i="23"/>
  <c r="C64" i="23"/>
  <c r="B64" i="23"/>
  <c r="H63" i="23"/>
  <c r="D63" i="23"/>
  <c r="C63" i="23"/>
  <c r="B63" i="23"/>
  <c r="H62" i="23"/>
  <c r="D62" i="23"/>
  <c r="C62" i="23"/>
  <c r="B62" i="23"/>
  <c r="H61" i="23"/>
  <c r="D61" i="23"/>
  <c r="C61" i="23"/>
  <c r="B61" i="23"/>
  <c r="H60" i="23"/>
  <c r="D60" i="23"/>
  <c r="C60" i="23"/>
  <c r="B60" i="23"/>
  <c r="H59" i="23"/>
  <c r="D59" i="23"/>
  <c r="C59" i="23"/>
  <c r="B59" i="23"/>
  <c r="H58" i="23"/>
  <c r="D58" i="23"/>
  <c r="C58" i="23"/>
  <c r="B58" i="23"/>
  <c r="H57" i="23"/>
  <c r="D57" i="23"/>
  <c r="C57" i="23"/>
  <c r="B57" i="23"/>
  <c r="H56" i="23"/>
  <c r="D56" i="23"/>
  <c r="C56" i="23"/>
  <c r="B56" i="23"/>
  <c r="H55" i="23"/>
  <c r="D55" i="23"/>
  <c r="C55" i="23"/>
  <c r="B55" i="23"/>
  <c r="H54" i="23"/>
  <c r="D54" i="23"/>
  <c r="C54" i="23"/>
  <c r="B54" i="23"/>
  <c r="H53" i="23"/>
  <c r="D53" i="23"/>
  <c r="C53" i="23"/>
  <c r="B53" i="23"/>
  <c r="H52" i="23"/>
  <c r="D52" i="23"/>
  <c r="C52" i="23"/>
  <c r="B52" i="23"/>
  <c r="H51" i="23"/>
  <c r="D51" i="23"/>
  <c r="C51" i="23"/>
  <c r="B51" i="23"/>
  <c r="H50" i="23"/>
  <c r="D50" i="23"/>
  <c r="C50" i="23"/>
  <c r="B50" i="23"/>
  <c r="H49" i="23"/>
  <c r="D49" i="23"/>
  <c r="C49" i="23"/>
  <c r="B49" i="23"/>
  <c r="H48" i="23"/>
  <c r="D48" i="23"/>
  <c r="C48" i="23"/>
  <c r="B48" i="23"/>
  <c r="H47" i="23"/>
  <c r="D47" i="23"/>
  <c r="C47" i="23"/>
  <c r="B47" i="23"/>
  <c r="H46" i="23"/>
  <c r="D46" i="23"/>
  <c r="C46" i="23"/>
  <c r="B46" i="23"/>
  <c r="H65" i="22"/>
  <c r="J65" i="22" s="1"/>
  <c r="D65" i="22"/>
  <c r="C65" i="22"/>
  <c r="B65" i="22"/>
  <c r="N16" i="22" s="1"/>
  <c r="H64" i="22"/>
  <c r="D64" i="22"/>
  <c r="C64" i="22"/>
  <c r="B64" i="22"/>
  <c r="H63" i="22"/>
  <c r="D63" i="22"/>
  <c r="C63" i="22"/>
  <c r="B63" i="22"/>
  <c r="H62" i="22"/>
  <c r="D62" i="22"/>
  <c r="C62" i="22"/>
  <c r="B62" i="22"/>
  <c r="H61" i="22"/>
  <c r="D61" i="22"/>
  <c r="C61" i="22"/>
  <c r="B61" i="22"/>
  <c r="H60" i="22"/>
  <c r="D60" i="22"/>
  <c r="C60" i="22"/>
  <c r="B60" i="22"/>
  <c r="H59" i="22"/>
  <c r="D59" i="22"/>
  <c r="C59" i="22"/>
  <c r="B59" i="22"/>
  <c r="H58" i="22"/>
  <c r="D58" i="22"/>
  <c r="C58" i="22"/>
  <c r="B58" i="22"/>
  <c r="H57" i="22"/>
  <c r="D57" i="22"/>
  <c r="C57" i="22"/>
  <c r="B57" i="22"/>
  <c r="H56" i="22"/>
  <c r="D56" i="22"/>
  <c r="C56" i="22"/>
  <c r="B56" i="22"/>
  <c r="H55" i="22"/>
  <c r="D55" i="22"/>
  <c r="C55" i="22"/>
  <c r="B55" i="22"/>
  <c r="H54" i="22"/>
  <c r="D54" i="22"/>
  <c r="C54" i="22"/>
  <c r="B54" i="22"/>
  <c r="H53" i="22"/>
  <c r="D53" i="22"/>
  <c r="C53" i="22"/>
  <c r="B53" i="22"/>
  <c r="H52" i="22"/>
  <c r="D52" i="22"/>
  <c r="C52" i="22"/>
  <c r="B52" i="22"/>
  <c r="H51" i="22"/>
  <c r="D51" i="22"/>
  <c r="C51" i="22"/>
  <c r="B51" i="22"/>
  <c r="H50" i="22"/>
  <c r="D50" i="22"/>
  <c r="C50" i="22"/>
  <c r="B50" i="22"/>
  <c r="H49" i="22"/>
  <c r="D49" i="22"/>
  <c r="C49" i="22"/>
  <c r="B49" i="22"/>
  <c r="H48" i="22"/>
  <c r="D48" i="22"/>
  <c r="C48" i="22"/>
  <c r="B48" i="22"/>
  <c r="H47" i="22"/>
  <c r="D47" i="22"/>
  <c r="C47" i="22"/>
  <c r="B47" i="22"/>
  <c r="H46" i="22"/>
  <c r="D46" i="22"/>
  <c r="C46" i="22"/>
  <c r="B46" i="22"/>
  <c r="D66" i="23" l="1"/>
  <c r="H66" i="22"/>
  <c r="D66" i="22"/>
  <c r="I46" i="23"/>
  <c r="J46" i="23"/>
  <c r="J47" i="23"/>
  <c r="I47" i="23"/>
  <c r="H66" i="23"/>
  <c r="I48" i="23"/>
  <c r="J48" i="23"/>
  <c r="J49" i="23"/>
  <c r="I49" i="23"/>
  <c r="I50" i="23"/>
  <c r="J50" i="23"/>
  <c r="J51" i="23"/>
  <c r="I51" i="23"/>
  <c r="I52" i="23"/>
  <c r="J52" i="23"/>
  <c r="J53" i="23"/>
  <c r="I53" i="23"/>
  <c r="J54" i="23"/>
  <c r="I54" i="23"/>
  <c r="J55" i="23"/>
  <c r="I55" i="23"/>
  <c r="I56" i="23"/>
  <c r="J56" i="23"/>
  <c r="J57" i="23"/>
  <c r="I57" i="23"/>
  <c r="I58" i="23"/>
  <c r="J58" i="23"/>
  <c r="J59" i="23"/>
  <c r="I59" i="23"/>
  <c r="I60" i="23"/>
  <c r="J60" i="23"/>
  <c r="J61" i="23"/>
  <c r="I61" i="23"/>
  <c r="I62" i="23"/>
  <c r="J62" i="23"/>
  <c r="J63" i="23"/>
  <c r="I63" i="23"/>
  <c r="J64" i="23"/>
  <c r="I64" i="23"/>
  <c r="J65" i="23"/>
  <c r="I65" i="23"/>
  <c r="G43" i="23"/>
  <c r="G55" i="23"/>
  <c r="P65" i="22"/>
  <c r="P55" i="22"/>
  <c r="P60" i="22"/>
  <c r="O36" i="22" a="1"/>
  <c r="O36" i="22" s="1"/>
  <c r="O37" i="22" a="1"/>
  <c r="O37" i="22" s="1"/>
  <c r="J46" i="22"/>
  <c r="I46" i="22"/>
  <c r="J47" i="22"/>
  <c r="I47" i="22"/>
  <c r="J48" i="22"/>
  <c r="I48" i="22"/>
  <c r="J49" i="22"/>
  <c r="I49" i="22"/>
  <c r="J50" i="22"/>
  <c r="I50" i="22"/>
  <c r="J51" i="22"/>
  <c r="I51" i="22"/>
  <c r="J52" i="22"/>
  <c r="I52" i="22"/>
  <c r="J53" i="22"/>
  <c r="I53" i="22"/>
  <c r="J54" i="22"/>
  <c r="I54" i="22"/>
  <c r="J55" i="22"/>
  <c r="I55" i="22"/>
  <c r="J56" i="22"/>
  <c r="I56" i="22"/>
  <c r="J57" i="22"/>
  <c r="I57" i="22"/>
  <c r="J58" i="22"/>
  <c r="I58" i="22"/>
  <c r="J59" i="22"/>
  <c r="I59" i="22"/>
  <c r="J60" i="22"/>
  <c r="I60" i="22"/>
  <c r="J61" i="22"/>
  <c r="I61" i="22"/>
  <c r="J62" i="22"/>
  <c r="I62" i="22"/>
  <c r="J63" i="22"/>
  <c r="I63" i="22"/>
  <c r="J64" i="22"/>
  <c r="I64" i="22"/>
  <c r="I65" i="22"/>
  <c r="I43" i="22"/>
  <c r="O38" i="23" a="1"/>
  <c r="O38" i="23" s="1"/>
  <c r="O37" i="23" a="1"/>
  <c r="O37" i="23" s="1"/>
  <c r="G59" i="22"/>
  <c r="G47" i="22"/>
  <c r="G43" i="22"/>
  <c r="G60" i="23"/>
  <c r="G52" i="23"/>
  <c r="G63" i="23"/>
  <c r="G48" i="23"/>
  <c r="G56" i="23"/>
  <c r="G64" i="23"/>
  <c r="G52" i="22"/>
  <c r="G65" i="23"/>
  <c r="G59" i="23"/>
  <c r="G46" i="23"/>
  <c r="G47" i="23"/>
  <c r="G50" i="23"/>
  <c r="G51" i="23"/>
  <c r="G54" i="23"/>
  <c r="G49" i="23"/>
  <c r="G53" i="23"/>
  <c r="G57" i="23"/>
  <c r="G58" i="23"/>
  <c r="G62" i="23"/>
  <c r="G61" i="23"/>
  <c r="G64" i="22"/>
  <c r="G55" i="22"/>
  <c r="G48" i="22"/>
  <c r="G56" i="22"/>
  <c r="G60" i="22"/>
  <c r="G63" i="22"/>
  <c r="G51" i="22"/>
  <c r="G62" i="22"/>
  <c r="G49" i="22"/>
  <c r="G53" i="22"/>
  <c r="G57" i="22"/>
  <c r="G61" i="22"/>
  <c r="G65" i="22"/>
  <c r="G46" i="22"/>
  <c r="G50" i="22"/>
  <c r="G54" i="22"/>
  <c r="G58" i="22"/>
  <c r="D48" i="1"/>
  <c r="J66" i="22" l="1"/>
  <c r="I66" i="22"/>
  <c r="I66" i="23"/>
  <c r="J66" i="23"/>
  <c r="G66" i="22"/>
  <c r="G66" i="23"/>
  <c r="O33" i="23" a="1"/>
  <c r="O33" i="23" s="1"/>
  <c r="O53" i="23" a="1"/>
  <c r="O53" i="23" s="1"/>
  <c r="O54" i="23" a="1"/>
  <c r="O54" i="23" s="1"/>
  <c r="O34" i="23" a="1"/>
  <c r="O34" i="23" s="1"/>
  <c r="N20" i="22"/>
  <c r="O50" i="22" a="1"/>
  <c r="O50" i="22" s="1"/>
  <c r="O49" i="22" a="1"/>
  <c r="O49" i="22" s="1"/>
  <c r="N19" i="22"/>
  <c r="H65" i="1"/>
  <c r="D65" i="1"/>
  <c r="C65" i="1"/>
  <c r="B65" i="1"/>
  <c r="A76" i="1" s="1"/>
  <c r="A99" i="23" s="1"/>
  <c r="H64" i="1"/>
  <c r="D64" i="1"/>
  <c r="C64" i="1"/>
  <c r="B64" i="1"/>
  <c r="H63" i="1"/>
  <c r="D63" i="1"/>
  <c r="C63" i="1"/>
  <c r="B63" i="1"/>
  <c r="H62" i="1"/>
  <c r="D62" i="1"/>
  <c r="C62" i="1"/>
  <c r="B62" i="1"/>
  <c r="H61" i="1"/>
  <c r="D61" i="1"/>
  <c r="E65" i="1" s="1"/>
  <c r="C61" i="1"/>
  <c r="B61" i="1"/>
  <c r="H60" i="1"/>
  <c r="D60" i="1"/>
  <c r="C60" i="1"/>
  <c r="B60" i="1"/>
  <c r="H59" i="1"/>
  <c r="D59" i="1"/>
  <c r="C59" i="1"/>
  <c r="B59" i="1"/>
  <c r="H58" i="1"/>
  <c r="D58" i="1"/>
  <c r="C58" i="1"/>
  <c r="B58" i="1"/>
  <c r="H57" i="1"/>
  <c r="D57" i="1"/>
  <c r="C57" i="1"/>
  <c r="B57" i="1"/>
  <c r="H56" i="1"/>
  <c r="D56" i="1"/>
  <c r="E60" i="1" s="1"/>
  <c r="C56" i="1"/>
  <c r="B56" i="1"/>
  <c r="H55" i="1"/>
  <c r="D55" i="1"/>
  <c r="C55" i="1"/>
  <c r="B55" i="1"/>
  <c r="H54" i="1"/>
  <c r="D54" i="1"/>
  <c r="C54" i="1"/>
  <c r="B54" i="1"/>
  <c r="H53" i="1"/>
  <c r="D53" i="1"/>
  <c r="C53" i="1"/>
  <c r="B53" i="1"/>
  <c r="H52" i="1"/>
  <c r="D52" i="1"/>
  <c r="C52" i="1"/>
  <c r="B52" i="1"/>
  <c r="H51" i="1"/>
  <c r="D51" i="1"/>
  <c r="E55" i="1" s="1"/>
  <c r="C51" i="1"/>
  <c r="B51" i="1"/>
  <c r="H50" i="1"/>
  <c r="D50" i="1"/>
  <c r="C50" i="1"/>
  <c r="B50" i="1"/>
  <c r="H49" i="1"/>
  <c r="D49" i="1"/>
  <c r="C49" i="1"/>
  <c r="B49" i="1"/>
  <c r="H48" i="1"/>
  <c r="C48" i="1"/>
  <c r="B48" i="1"/>
  <c r="H47" i="1"/>
  <c r="D47" i="1"/>
  <c r="C47" i="1"/>
  <c r="B47" i="1"/>
  <c r="H46" i="1"/>
  <c r="D46" i="1"/>
  <c r="C46" i="1"/>
  <c r="B46" i="1"/>
  <c r="N15" i="1"/>
  <c r="D66" i="1" l="1"/>
  <c r="B73" i="1"/>
  <c r="B96" i="23" s="1"/>
  <c r="E50" i="1"/>
  <c r="H66" i="1"/>
  <c r="I48" i="1"/>
  <c r="J48" i="1"/>
  <c r="J49" i="1"/>
  <c r="I49" i="1"/>
  <c r="J50" i="1"/>
  <c r="I50" i="1"/>
  <c r="J51" i="1"/>
  <c r="I51" i="1"/>
  <c r="I52" i="1"/>
  <c r="J52" i="1"/>
  <c r="J53" i="1"/>
  <c r="I53" i="1"/>
  <c r="I54" i="1"/>
  <c r="J54" i="1"/>
  <c r="J55" i="1"/>
  <c r="I55" i="1"/>
  <c r="J56" i="1"/>
  <c r="I56" i="1"/>
  <c r="J57" i="1"/>
  <c r="I57" i="1"/>
  <c r="I58" i="1"/>
  <c r="J58" i="1"/>
  <c r="J59" i="1"/>
  <c r="I59" i="1"/>
  <c r="J60" i="1"/>
  <c r="I60" i="1"/>
  <c r="J61" i="1"/>
  <c r="I61" i="1"/>
  <c r="I62" i="1"/>
  <c r="J62" i="1"/>
  <c r="J63" i="1"/>
  <c r="I63" i="1"/>
  <c r="I64" i="1"/>
  <c r="J64" i="1"/>
  <c r="J65" i="1"/>
  <c r="I65" i="1"/>
  <c r="J46" i="1"/>
  <c r="I46" i="1"/>
  <c r="J47" i="1"/>
  <c r="I47" i="1"/>
  <c r="O66" i="1"/>
  <c r="O61" i="1"/>
  <c r="O56" i="1"/>
  <c r="O53" i="1"/>
  <c r="O33" i="1"/>
  <c r="O41" i="1"/>
  <c r="N36" i="1" a="1"/>
  <c r="N36" i="1" s="1"/>
  <c r="O36" i="1" s="1"/>
  <c r="N35" i="1" a="1"/>
  <c r="N35" i="1" s="1"/>
  <c r="O35" i="1" s="1"/>
  <c r="N46" i="1" a="1"/>
  <c r="N46" i="1" s="1"/>
  <c r="O46" i="1" s="1"/>
  <c r="N45" i="1" a="1"/>
  <c r="N45" i="1" s="1"/>
  <c r="O45" i="1" s="1"/>
  <c r="B76" i="1"/>
  <c r="B99" i="23" s="1"/>
  <c r="G47" i="1"/>
  <c r="G52" i="1"/>
  <c r="G56" i="1"/>
  <c r="G60" i="1"/>
  <c r="G64" i="1"/>
  <c r="G49" i="1"/>
  <c r="G53" i="1"/>
  <c r="G57" i="1"/>
  <c r="G61" i="1"/>
  <c r="G65" i="1"/>
  <c r="B74" i="1"/>
  <c r="G50" i="1"/>
  <c r="G54" i="1"/>
  <c r="G58" i="1"/>
  <c r="G62" i="1"/>
  <c r="G46" i="1"/>
  <c r="G51" i="1"/>
  <c r="G55" i="1"/>
  <c r="G59" i="1"/>
  <c r="G63" i="1"/>
  <c r="A75" i="1"/>
  <c r="G43" i="1"/>
  <c r="N16" i="1"/>
  <c r="G48" i="1"/>
  <c r="B75" i="1"/>
  <c r="B98" i="23" s="1"/>
  <c r="G74" i="1"/>
  <c r="A77" i="1"/>
  <c r="D76" i="1"/>
  <c r="D99" i="23" s="1"/>
  <c r="A78" i="1"/>
  <c r="A101" i="23" s="1"/>
  <c r="D74" i="1"/>
  <c r="D97" i="23" s="1"/>
  <c r="D73" i="1"/>
  <c r="G73" i="1"/>
  <c r="G96" i="23" s="1"/>
  <c r="I43" i="1"/>
  <c r="Q46" i="1" a="1"/>
  <c r="Q36" i="1" a="1"/>
  <c r="Q35" i="1" a="1"/>
  <c r="Q45" i="1" a="1"/>
  <c r="Q35" i="1" l="1"/>
  <c r="Q36" i="1"/>
  <c r="Q45" i="1"/>
  <c r="Q46" i="1"/>
  <c r="C73" i="1"/>
  <c r="C96" i="23" s="1"/>
  <c r="F66" i="1"/>
  <c r="G66" i="1"/>
  <c r="I66" i="1"/>
  <c r="J66" i="1"/>
  <c r="T15" i="1"/>
  <c r="O62" i="1"/>
  <c r="O57" i="1"/>
  <c r="O67" i="1"/>
  <c r="D96" i="23"/>
  <c r="B77" i="1"/>
  <c r="B100" i="23" s="1"/>
  <c r="A100" i="23"/>
  <c r="D75" i="1"/>
  <c r="D98" i="23" s="1"/>
  <c r="A98" i="23"/>
  <c r="C74" i="1"/>
  <c r="C97" i="23" s="1"/>
  <c r="B97" i="23"/>
  <c r="G85" i="22"/>
  <c r="G97" i="23"/>
  <c r="P45" i="22"/>
  <c r="P49" i="23"/>
  <c r="P44" i="22"/>
  <c r="P48" i="23"/>
  <c r="I76" i="1"/>
  <c r="N31" i="1" a="1"/>
  <c r="N31" i="1" s="1"/>
  <c r="O31" i="1" s="1"/>
  <c r="N52" i="1" a="1"/>
  <c r="N52" i="1" s="1"/>
  <c r="O52" i="1" s="1"/>
  <c r="N51" i="1" a="1"/>
  <c r="N51" i="1" s="1"/>
  <c r="O51" i="1" s="1"/>
  <c r="O34" i="1"/>
  <c r="O54" i="1"/>
  <c r="O42" i="1"/>
  <c r="O48" i="1"/>
  <c r="N40" i="1" a="1"/>
  <c r="N40" i="1" s="1"/>
  <c r="O40" i="1" s="1"/>
  <c r="N39" i="1" a="1"/>
  <c r="N39" i="1" s="1"/>
  <c r="O39" i="1" s="1"/>
  <c r="G76" i="1"/>
  <c r="G99" i="23" s="1"/>
  <c r="G75" i="1"/>
  <c r="G98" i="23" s="1"/>
  <c r="H74" i="1"/>
  <c r="G84" i="22"/>
  <c r="C76" i="1"/>
  <c r="F73" i="1"/>
  <c r="F96" i="23" s="1"/>
  <c r="D77" i="1"/>
  <c r="D100" i="23" s="1"/>
  <c r="B78" i="1"/>
  <c r="D78" i="1"/>
  <c r="D101" i="23" s="1"/>
  <c r="C75" i="1"/>
  <c r="C98" i="23" s="1"/>
  <c r="R45" i="22" a="1"/>
  <c r="Q62" i="1"/>
  <c r="Q51" i="1" a="1"/>
  <c r="Q48" i="1" a="1"/>
  <c r="R44" i="22" a="1"/>
  <c r="Q67" i="1"/>
  <c r="Q54" i="1" a="1"/>
  <c r="R49" i="23" a="1"/>
  <c r="Q34" i="1" a="1"/>
  <c r="Q40" i="1" a="1"/>
  <c r="Q42" i="1" a="1"/>
  <c r="Q31" i="1" a="1"/>
  <c r="Q39" i="1" a="1"/>
  <c r="Q57" i="1"/>
  <c r="R48" i="23" a="1"/>
  <c r="Q52" i="1" a="1"/>
  <c r="Q39" i="1" l="1"/>
  <c r="Q54" i="1"/>
  <c r="Q31" i="1"/>
  <c r="Q40" i="1"/>
  <c r="Q34" i="1"/>
  <c r="Q48" i="1"/>
  <c r="Q51" i="1"/>
  <c r="Q42" i="1"/>
  <c r="Q52" i="1"/>
  <c r="R49" i="23"/>
  <c r="R45" i="22"/>
  <c r="R48" i="23"/>
  <c r="R44" i="22"/>
  <c r="E73" i="1"/>
  <c r="E96" i="23" s="1"/>
  <c r="F76" i="1"/>
  <c r="F99" i="23" s="1"/>
  <c r="C99" i="23"/>
  <c r="E74" i="1"/>
  <c r="E97" i="23" s="1"/>
  <c r="I78" i="1"/>
  <c r="B101" i="23"/>
  <c r="F74" i="1"/>
  <c r="F97" i="23" s="1"/>
  <c r="C77" i="1"/>
  <c r="C100" i="23" s="1"/>
  <c r="H85" i="22"/>
  <c r="H97" i="23"/>
  <c r="G77" i="1"/>
  <c r="H77" i="1" s="1"/>
  <c r="I87" i="22"/>
  <c r="I99" i="23"/>
  <c r="P39" i="22"/>
  <c r="P42" i="23"/>
  <c r="Q53" i="23"/>
  <c r="Q50" i="22"/>
  <c r="Q49" i="22"/>
  <c r="Q54" i="23"/>
  <c r="G78" i="1"/>
  <c r="J78" i="1" s="1"/>
  <c r="N19" i="1"/>
  <c r="C78" i="1"/>
  <c r="C101" i="23" s="1"/>
  <c r="H76" i="1"/>
  <c r="E76" i="1"/>
  <c r="E99" i="23" s="1"/>
  <c r="E75" i="1"/>
  <c r="E98" i="23" s="1"/>
  <c r="F75" i="1"/>
  <c r="F98" i="23" s="1"/>
  <c r="G86" i="22"/>
  <c r="J75" i="1"/>
  <c r="G87" i="22"/>
  <c r="J76" i="1"/>
  <c r="N32" i="1" a="1"/>
  <c r="N32" i="1" s="1"/>
  <c r="O32" i="1" s="1"/>
  <c r="R54" i="23" a="1"/>
  <c r="R53" i="23" a="1"/>
  <c r="Q32" i="1" a="1"/>
  <c r="R49" i="22"/>
  <c r="R50" i="22"/>
  <c r="R39" i="22" a="1"/>
  <c r="R42" i="23" a="1"/>
  <c r="E77" i="1" l="1"/>
  <c r="E100" i="23" s="1"/>
  <c r="Q32" i="1"/>
  <c r="J77" i="1"/>
  <c r="J88" i="22" s="1"/>
  <c r="R53" i="23"/>
  <c r="R54" i="23"/>
  <c r="R42" i="23"/>
  <c r="R39" i="22"/>
  <c r="J89" i="22"/>
  <c r="J101" i="23"/>
  <c r="I89" i="22"/>
  <c r="I101" i="23"/>
  <c r="J87" i="22"/>
  <c r="J99" i="23"/>
  <c r="H87" i="22"/>
  <c r="H99" i="23"/>
  <c r="H88" i="22"/>
  <c r="H100" i="23"/>
  <c r="G89" i="22"/>
  <c r="G101" i="23"/>
  <c r="G88" i="22"/>
  <c r="G100" i="23"/>
  <c r="J86" i="22"/>
  <c r="J98" i="23"/>
  <c r="F77" i="1"/>
  <c r="F100" i="23" s="1"/>
  <c r="H78" i="1"/>
  <c r="F78" i="1"/>
  <c r="F101" i="23" s="1"/>
  <c r="E78" i="1"/>
  <c r="E101" i="23" s="1"/>
  <c r="J100" i="23" l="1"/>
  <c r="H89" i="22"/>
  <c r="H101" i="23"/>
  <c r="R37" i="15"/>
  <c r="A79" i="23" l="1"/>
  <c r="A78" i="23"/>
  <c r="A77" i="23"/>
  <c r="A76" i="23"/>
  <c r="I73" i="23"/>
  <c r="F73" i="23"/>
  <c r="J72" i="23"/>
  <c r="N16" i="23"/>
  <c r="N15" i="23"/>
  <c r="M4" i="23"/>
  <c r="H73" i="23" s="1"/>
  <c r="V37" i="15"/>
  <c r="V55" i="15" s="1"/>
  <c r="U37" i="15"/>
  <c r="U55" i="15" s="1"/>
  <c r="T37" i="15"/>
  <c r="T54" i="15" s="1"/>
  <c r="S37" i="15"/>
  <c r="S57" i="15" s="1"/>
  <c r="R56" i="15"/>
  <c r="W37" i="12"/>
  <c r="W54" i="12" s="1"/>
  <c r="U37" i="12"/>
  <c r="U54" i="12" s="1"/>
  <c r="T37" i="12"/>
  <c r="T57" i="12" s="1"/>
  <c r="S37" i="12"/>
  <c r="S56" i="12" s="1"/>
  <c r="R37" i="12"/>
  <c r="R55" i="12" s="1"/>
  <c r="T15" i="23" l="1"/>
  <c r="R15" i="23"/>
  <c r="R16" i="23" s="1"/>
  <c r="S16" i="23" s="1"/>
  <c r="P62" i="23"/>
  <c r="P65" i="23"/>
  <c r="P59" i="23"/>
  <c r="P63" i="23"/>
  <c r="P66" i="23"/>
  <c r="P60" i="23"/>
  <c r="P35" i="23"/>
  <c r="P55" i="23"/>
  <c r="P50" i="23"/>
  <c r="P44" i="23"/>
  <c r="N17" i="23"/>
  <c r="N18" i="23" s="1"/>
  <c r="P45" i="23"/>
  <c r="P36" i="23"/>
  <c r="P51" i="23"/>
  <c r="P56" i="23"/>
  <c r="D77" i="23"/>
  <c r="U41" i="12"/>
  <c r="U44" i="12"/>
  <c r="U57" i="12"/>
  <c r="U49" i="12"/>
  <c r="T56" i="12"/>
  <c r="T40" i="12"/>
  <c r="U52" i="12"/>
  <c r="U42" i="15"/>
  <c r="S46" i="15"/>
  <c r="U50" i="15"/>
  <c r="T57" i="15"/>
  <c r="S39" i="15"/>
  <c r="S48" i="15"/>
  <c r="S41" i="15"/>
  <c r="V38" i="15"/>
  <c r="V40" i="15"/>
  <c r="T41" i="15"/>
  <c r="S45" i="15"/>
  <c r="U46" i="15"/>
  <c r="T53" i="15"/>
  <c r="V56" i="15"/>
  <c r="S38" i="15"/>
  <c r="S40" i="15"/>
  <c r="V44" i="15"/>
  <c r="T45" i="15"/>
  <c r="T49" i="15"/>
  <c r="V52" i="15"/>
  <c r="S56" i="15"/>
  <c r="V39" i="15"/>
  <c r="S42" i="15"/>
  <c r="S44" i="15"/>
  <c r="V48" i="15"/>
  <c r="S52" i="15"/>
  <c r="U54" i="15"/>
  <c r="W44" i="12"/>
  <c r="U40" i="12"/>
  <c r="T44" i="12"/>
  <c r="U45" i="12"/>
  <c r="W48" i="12"/>
  <c r="R49" i="12"/>
  <c r="R54" i="12"/>
  <c r="U56" i="12"/>
  <c r="R45" i="12"/>
  <c r="R50" i="12"/>
  <c r="R42" i="12"/>
  <c r="T48" i="12"/>
  <c r="W52" i="12"/>
  <c r="R53" i="12"/>
  <c r="W40" i="12"/>
  <c r="R41" i="12"/>
  <c r="R46" i="12"/>
  <c r="U48" i="12"/>
  <c r="T52" i="12"/>
  <c r="U53" i="12"/>
  <c r="W56" i="12"/>
  <c r="R57" i="12"/>
  <c r="B75" i="23"/>
  <c r="D74" i="23"/>
  <c r="D75" i="23"/>
  <c r="D76" i="23"/>
  <c r="G73" i="23"/>
  <c r="B74" i="23"/>
  <c r="B76" i="23"/>
  <c r="B78" i="23"/>
  <c r="D79" i="23"/>
  <c r="B77" i="23"/>
  <c r="D78" i="23"/>
  <c r="B79" i="23"/>
  <c r="V43" i="15"/>
  <c r="V47" i="15"/>
  <c r="R55" i="15"/>
  <c r="W37" i="15"/>
  <c r="T40" i="15"/>
  <c r="U41" i="15"/>
  <c r="R42" i="15"/>
  <c r="V42" i="15"/>
  <c r="S43" i="15"/>
  <c r="T44" i="15"/>
  <c r="U45" i="15"/>
  <c r="R46" i="15"/>
  <c r="V46" i="15"/>
  <c r="S47" i="15"/>
  <c r="T48" i="15"/>
  <c r="U49" i="15"/>
  <c r="R50" i="15"/>
  <c r="V50" i="15"/>
  <c r="S51" i="15"/>
  <c r="T52" i="15"/>
  <c r="U53" i="15"/>
  <c r="R54" i="15"/>
  <c r="V54" i="15"/>
  <c r="S55" i="15"/>
  <c r="T56" i="15"/>
  <c r="U57" i="15"/>
  <c r="R43" i="15"/>
  <c r="R51" i="15"/>
  <c r="U40" i="15"/>
  <c r="R41" i="15"/>
  <c r="V41" i="15"/>
  <c r="T43" i="15"/>
  <c r="U44" i="15"/>
  <c r="R45" i="15"/>
  <c r="V45" i="15"/>
  <c r="T47" i="15"/>
  <c r="U48" i="15"/>
  <c r="R49" i="15"/>
  <c r="V49" i="15"/>
  <c r="S50" i="15"/>
  <c r="T51" i="15"/>
  <c r="U52" i="15"/>
  <c r="R53" i="15"/>
  <c r="V53" i="15"/>
  <c r="S54" i="15"/>
  <c r="T55" i="15"/>
  <c r="U56" i="15"/>
  <c r="R57" i="15"/>
  <c r="V57" i="15"/>
  <c r="R47" i="15"/>
  <c r="V51" i="15"/>
  <c r="R38" i="15"/>
  <c r="R39" i="15"/>
  <c r="R40" i="15"/>
  <c r="T42" i="15"/>
  <c r="U43" i="15"/>
  <c r="R44" i="15"/>
  <c r="T46" i="15"/>
  <c r="U47" i="15"/>
  <c r="R48" i="15"/>
  <c r="S49" i="15"/>
  <c r="T50" i="15"/>
  <c r="U51" i="15"/>
  <c r="R52" i="15"/>
  <c r="S53" i="15"/>
  <c r="S43" i="12"/>
  <c r="W47" i="12"/>
  <c r="S51" i="12"/>
  <c r="W55" i="12"/>
  <c r="S42" i="12"/>
  <c r="S46" i="12"/>
  <c r="S50" i="12"/>
  <c r="S54" i="12"/>
  <c r="T55" i="12"/>
  <c r="R38" i="12"/>
  <c r="R39" i="12"/>
  <c r="R40" i="12"/>
  <c r="S41" i="12"/>
  <c r="W41" i="12"/>
  <c r="T42" i="12"/>
  <c r="U43" i="12"/>
  <c r="R44" i="12"/>
  <c r="S45" i="12"/>
  <c r="W45" i="12"/>
  <c r="T46" i="12"/>
  <c r="U47" i="12"/>
  <c r="R48" i="12"/>
  <c r="S49" i="12"/>
  <c r="W49" i="12"/>
  <c r="T50" i="12"/>
  <c r="U51" i="12"/>
  <c r="R52" i="12"/>
  <c r="S53" i="12"/>
  <c r="W53" i="12"/>
  <c r="T54" i="12"/>
  <c r="U55" i="12"/>
  <c r="R56" i="12"/>
  <c r="S57" i="12"/>
  <c r="W57" i="12"/>
  <c r="W43" i="12"/>
  <c r="S47" i="12"/>
  <c r="W51" i="12"/>
  <c r="S55" i="12"/>
  <c r="W42" i="12"/>
  <c r="T43" i="12"/>
  <c r="W46" i="12"/>
  <c r="T47" i="12"/>
  <c r="W50" i="12"/>
  <c r="T51" i="12"/>
  <c r="V37" i="12"/>
  <c r="V55" i="12" s="1"/>
  <c r="S38" i="12"/>
  <c r="S39" i="12"/>
  <c r="S40" i="12"/>
  <c r="T41" i="12"/>
  <c r="U42" i="12"/>
  <c r="R43" i="12"/>
  <c r="S44" i="12"/>
  <c r="T45" i="12"/>
  <c r="U46" i="12"/>
  <c r="R47" i="12"/>
  <c r="S48" i="12"/>
  <c r="T49" i="12"/>
  <c r="U50" i="12"/>
  <c r="R51" i="12"/>
  <c r="S52" i="12"/>
  <c r="T53" i="12"/>
  <c r="G75" i="23" l="1"/>
  <c r="G76" i="23"/>
  <c r="C74" i="23"/>
  <c r="F74" i="23" s="1"/>
  <c r="G74" i="23"/>
  <c r="H75" i="23" s="1"/>
  <c r="C76" i="23"/>
  <c r="F76" i="23" s="1"/>
  <c r="O30" i="23" a="1"/>
  <c r="O30" i="23" s="1"/>
  <c r="O29" i="23" a="1"/>
  <c r="O29" i="23" s="1"/>
  <c r="G79" i="23"/>
  <c r="P22" i="23" s="1"/>
  <c r="S15" i="23"/>
  <c r="G77" i="23"/>
  <c r="P20" i="23" s="1"/>
  <c r="D80" i="23"/>
  <c r="C78" i="23"/>
  <c r="E76" i="23"/>
  <c r="C79" i="23"/>
  <c r="C75" i="23"/>
  <c r="I79" i="23"/>
  <c r="U15" i="23"/>
  <c r="T16" i="23"/>
  <c r="U16" i="23" s="1"/>
  <c r="I77" i="23"/>
  <c r="G78" i="23"/>
  <c r="J76" i="23"/>
  <c r="P19" i="23"/>
  <c r="C77" i="23"/>
  <c r="W57" i="15"/>
  <c r="W53" i="15"/>
  <c r="W49" i="15"/>
  <c r="W45" i="15"/>
  <c r="W41" i="15"/>
  <c r="W48" i="15"/>
  <c r="W40" i="15"/>
  <c r="W52" i="15"/>
  <c r="W44" i="15"/>
  <c r="W56" i="15"/>
  <c r="W51" i="15"/>
  <c r="W54" i="15"/>
  <c r="W55" i="15"/>
  <c r="W43" i="15"/>
  <c r="W47" i="15"/>
  <c r="W46" i="15"/>
  <c r="W50" i="15"/>
  <c r="W42" i="15"/>
  <c r="V45" i="12"/>
  <c r="V41" i="12"/>
  <c r="V56" i="12"/>
  <c r="V48" i="12"/>
  <c r="V40" i="12"/>
  <c r="V43" i="12"/>
  <c r="V53" i="12"/>
  <c r="V49" i="12"/>
  <c r="V57" i="12"/>
  <c r="V51" i="12"/>
  <c r="V52" i="12"/>
  <c r="V44" i="12"/>
  <c r="V47" i="12"/>
  <c r="V54" i="12"/>
  <c r="V50" i="12"/>
  <c r="V42" i="12"/>
  <c r="V39" i="12"/>
  <c r="V46" i="12"/>
  <c r="V38" i="12"/>
  <c r="N19" i="23" l="1"/>
  <c r="E74" i="23"/>
  <c r="J77" i="23"/>
  <c r="J79" i="23"/>
  <c r="N20" i="23"/>
  <c r="G80" i="23"/>
  <c r="P23" i="23" s="1"/>
  <c r="Q22" i="23" s="1"/>
  <c r="H77" i="23"/>
  <c r="C80" i="23"/>
  <c r="F77" i="23"/>
  <c r="E77" i="23"/>
  <c r="P21" i="23"/>
  <c r="J78" i="23"/>
  <c r="H78" i="23"/>
  <c r="F79" i="23"/>
  <c r="E79" i="23"/>
  <c r="F78" i="23"/>
  <c r="E78" i="23"/>
  <c r="E75" i="23"/>
  <c r="F75" i="23"/>
  <c r="H79" i="23"/>
  <c r="J80" i="23" l="1"/>
  <c r="Q20" i="23"/>
  <c r="Q19" i="23"/>
  <c r="Q21" i="23"/>
  <c r="E80" i="23"/>
  <c r="F80" i="23"/>
  <c r="A90" i="22" l="1"/>
  <c r="C82" i="22"/>
  <c r="E82" i="22"/>
  <c r="G82" i="22"/>
  <c r="A83" i="22"/>
  <c r="B83" i="22"/>
  <c r="C83" i="22"/>
  <c r="D83" i="22"/>
  <c r="E83" i="22"/>
  <c r="A84" i="22"/>
  <c r="A85" i="22"/>
  <c r="R15" i="1"/>
  <c r="A78" i="22"/>
  <c r="A90" i="23" s="1"/>
  <c r="A77" i="22"/>
  <c r="A89" i="23" s="1"/>
  <c r="A76" i="22"/>
  <c r="A88" i="23" s="1"/>
  <c r="A75" i="22"/>
  <c r="A87" i="23" s="1"/>
  <c r="I72" i="22"/>
  <c r="I84" i="23" s="1"/>
  <c r="F72" i="22"/>
  <c r="F84" i="23" s="1"/>
  <c r="J71" i="22"/>
  <c r="J83" i="23" s="1"/>
  <c r="N15" i="22"/>
  <c r="P54" i="22" l="1"/>
  <c r="P64" i="22"/>
  <c r="P59" i="22"/>
  <c r="P51" i="22"/>
  <c r="P34" i="22"/>
  <c r="P41" i="22"/>
  <c r="P46" i="22"/>
  <c r="R15" i="22"/>
  <c r="S15" i="22" s="1"/>
  <c r="T15" i="22"/>
  <c r="T16" i="22" s="1"/>
  <c r="U16" i="22" s="1"/>
  <c r="P47" i="22"/>
  <c r="P42" i="22"/>
  <c r="P52" i="22"/>
  <c r="P35" i="22"/>
  <c r="M4" i="22"/>
  <c r="G72" i="22" s="1"/>
  <c r="G84" i="23" s="1"/>
  <c r="B75" i="22"/>
  <c r="B87" i="23" s="1"/>
  <c r="B76" i="22"/>
  <c r="B88" i="23" s="1"/>
  <c r="B73" i="22"/>
  <c r="B77" i="22"/>
  <c r="B89" i="23" s="1"/>
  <c r="N17" i="22"/>
  <c r="N18" i="22" s="1"/>
  <c r="D73" i="22"/>
  <c r="D85" i="23" s="1"/>
  <c r="D75" i="22"/>
  <c r="D87" i="23" s="1"/>
  <c r="D77" i="22"/>
  <c r="D89" i="23" s="1"/>
  <c r="B78" i="22"/>
  <c r="B90" i="23" s="1"/>
  <c r="D74" i="22"/>
  <c r="D86" i="23" s="1"/>
  <c r="B74" i="22"/>
  <c r="B86" i="23" s="1"/>
  <c r="D76" i="22"/>
  <c r="D88" i="23" s="1"/>
  <c r="D78" i="22"/>
  <c r="D90" i="23" s="1"/>
  <c r="G73" i="22" l="1"/>
  <c r="G85" i="23" s="1"/>
  <c r="B85" i="23"/>
  <c r="H72" i="22"/>
  <c r="H84" i="23" s="1"/>
  <c r="G74" i="22"/>
  <c r="G86" i="23" s="1"/>
  <c r="R16" i="22"/>
  <c r="S16" i="22" s="1"/>
  <c r="C73" i="22"/>
  <c r="C74" i="22"/>
  <c r="C86" i="23" s="1"/>
  <c r="G75" i="22"/>
  <c r="G87" i="23" s="1"/>
  <c r="U15" i="22"/>
  <c r="C76" i="22"/>
  <c r="C88" i="23" s="1"/>
  <c r="G76" i="22"/>
  <c r="G88" i="23" s="1"/>
  <c r="I76" i="22"/>
  <c r="I88" i="23" s="1"/>
  <c r="G77" i="22"/>
  <c r="G89" i="23" s="1"/>
  <c r="C77" i="22"/>
  <c r="C89" i="23" s="1"/>
  <c r="G78" i="22"/>
  <c r="G90" i="23" s="1"/>
  <c r="I78" i="22"/>
  <c r="I90" i="23" s="1"/>
  <c r="C78" i="22"/>
  <c r="C90" i="23" s="1"/>
  <c r="C75" i="22"/>
  <c r="C87" i="23" s="1"/>
  <c r="D79" i="22"/>
  <c r="D91" i="23" s="1"/>
  <c r="T37" i="11"/>
  <c r="F74" i="22" l="1"/>
  <c r="F86" i="23" s="1"/>
  <c r="E73" i="22"/>
  <c r="E85" i="23" s="1"/>
  <c r="C85" i="23"/>
  <c r="H74" i="22"/>
  <c r="H86" i="23" s="1"/>
  <c r="E74" i="22"/>
  <c r="E86" i="23" s="1"/>
  <c r="V37" i="11"/>
  <c r="V57" i="11" s="1"/>
  <c r="P21" i="22"/>
  <c r="E76" i="22"/>
  <c r="E88" i="23" s="1"/>
  <c r="W37" i="11"/>
  <c r="W40" i="11" s="1"/>
  <c r="F76" i="22"/>
  <c r="F88" i="23" s="1"/>
  <c r="F77" i="22"/>
  <c r="F89" i="23" s="1"/>
  <c r="P22" i="22"/>
  <c r="J76" i="22"/>
  <c r="J88" i="23" s="1"/>
  <c r="P20" i="22"/>
  <c r="J75" i="22"/>
  <c r="J87" i="23" s="1"/>
  <c r="P19" i="22"/>
  <c r="G79" i="22"/>
  <c r="G91" i="23" s="1"/>
  <c r="F73" i="22"/>
  <c r="F85" i="23" s="1"/>
  <c r="H76" i="22"/>
  <c r="H88" i="23" s="1"/>
  <c r="C79" i="22"/>
  <c r="C91" i="23" s="1"/>
  <c r="E77" i="22"/>
  <c r="E89" i="23" s="1"/>
  <c r="H78" i="22"/>
  <c r="H90" i="23" s="1"/>
  <c r="J78" i="22"/>
  <c r="J90" i="23" s="1"/>
  <c r="H77" i="22"/>
  <c r="H89" i="23" s="1"/>
  <c r="J77" i="22"/>
  <c r="J89" i="23" s="1"/>
  <c r="F78" i="22"/>
  <c r="F90" i="23" s="1"/>
  <c r="E78" i="22"/>
  <c r="E90" i="23" s="1"/>
  <c r="F75" i="22"/>
  <c r="F87" i="23" s="1"/>
  <c r="E75" i="22"/>
  <c r="E87" i="23" s="1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V38" i="11" l="1"/>
  <c r="V44" i="11"/>
  <c r="V48" i="11"/>
  <c r="W41" i="11"/>
  <c r="W44" i="11"/>
  <c r="V40" i="11"/>
  <c r="W55" i="11"/>
  <c r="W46" i="11"/>
  <c r="W43" i="11"/>
  <c r="W42" i="11"/>
  <c r="W53" i="11"/>
  <c r="W56" i="11"/>
  <c r="W54" i="11"/>
  <c r="W49" i="11"/>
  <c r="W52" i="11"/>
  <c r="W51" i="11"/>
  <c r="W57" i="11"/>
  <c r="W45" i="11"/>
  <c r="W48" i="11"/>
  <c r="W47" i="11"/>
  <c r="W50" i="11"/>
  <c r="V54" i="11"/>
  <c r="V43" i="11"/>
  <c r="V45" i="11"/>
  <c r="V51" i="11"/>
  <c r="V50" i="11"/>
  <c r="V42" i="11"/>
  <c r="V55" i="11"/>
  <c r="V39" i="11"/>
  <c r="V52" i="11"/>
  <c r="V49" i="11"/>
  <c r="V46" i="11"/>
  <c r="V47" i="11"/>
  <c r="V56" i="11"/>
  <c r="V53" i="11"/>
  <c r="V41" i="11"/>
  <c r="J79" i="22"/>
  <c r="J91" i="23" s="1"/>
  <c r="P23" i="22"/>
  <c r="Q21" i="22" s="1"/>
  <c r="E79" i="22"/>
  <c r="E91" i="23" s="1"/>
  <c r="F79" i="22"/>
  <c r="F91" i="23" s="1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J12" i="10" s="1"/>
  <c r="Q22" i="22" l="1"/>
  <c r="Q19" i="22"/>
  <c r="Q20" i="22"/>
  <c r="M24" i="2"/>
  <c r="G24" i="2" s="1"/>
  <c r="L24" i="2"/>
  <c r="F24" i="2" s="1"/>
  <c r="K24" i="2"/>
  <c r="E24" i="2" s="1"/>
  <c r="M30" i="2"/>
  <c r="G30" i="2" s="1"/>
  <c r="L30" i="2"/>
  <c r="F30" i="2" s="1"/>
  <c r="K30" i="2"/>
  <c r="E30" i="2" s="1"/>
  <c r="M31" i="2"/>
  <c r="G31" i="2" s="1"/>
  <c r="L31" i="2"/>
  <c r="F31" i="2" s="1"/>
  <c r="K31" i="2"/>
  <c r="E31" i="2" s="1"/>
  <c r="M23" i="2"/>
  <c r="G23" i="2" s="1"/>
  <c r="L23" i="2"/>
  <c r="F23" i="2" s="1"/>
  <c r="K23" i="2"/>
  <c r="E23" i="2" s="1"/>
  <c r="M22" i="2"/>
  <c r="G22" i="2" s="1"/>
  <c r="L22" i="2"/>
  <c r="F22" i="2" s="1"/>
  <c r="K22" i="2"/>
  <c r="E22" i="2" s="1"/>
  <c r="M21" i="2"/>
  <c r="G21" i="2" s="1"/>
  <c r="L21" i="2"/>
  <c r="F21" i="2" s="1"/>
  <c r="K21" i="2"/>
  <c r="E21" i="2" s="1"/>
  <c r="M8" i="2"/>
  <c r="G8" i="2" s="1"/>
  <c r="L8" i="2"/>
  <c r="F8" i="2" s="1"/>
  <c r="K8" i="2"/>
  <c r="E8" i="2" s="1"/>
  <c r="M12" i="2"/>
  <c r="G12" i="2" s="1"/>
  <c r="L12" i="2"/>
  <c r="F12" i="2" s="1"/>
  <c r="K12" i="2"/>
  <c r="E12" i="2" s="1"/>
  <c r="M11" i="2"/>
  <c r="G11" i="2" s="1"/>
  <c r="L11" i="2"/>
  <c r="F11" i="2" s="1"/>
  <c r="K11" i="2"/>
  <c r="E11" i="2" s="1"/>
  <c r="M4" i="2"/>
  <c r="G4" i="2" s="1"/>
  <c r="L4" i="2"/>
  <c r="F4" i="2" s="1"/>
  <c r="K4" i="2"/>
  <c r="E4" i="2" s="1"/>
  <c r="M3" i="2"/>
  <c r="G3" i="2" s="1"/>
  <c r="L3" i="2"/>
  <c r="F3" i="2" s="1"/>
  <c r="K3" i="2"/>
  <c r="E3" i="2" s="1"/>
  <c r="M2" i="2"/>
  <c r="G2" i="2" s="1"/>
  <c r="L2" i="2"/>
  <c r="F2" i="2" s="1"/>
  <c r="K2" i="2"/>
  <c r="E2" i="2" s="1"/>
  <c r="H14" i="10" s="1"/>
  <c r="C3" i="21"/>
  <c r="I14" i="10" l="1"/>
  <c r="H12" i="1"/>
  <c r="J12" i="1" s="1"/>
  <c r="H12" i="22"/>
  <c r="J12" i="22" s="1"/>
  <c r="H12" i="23"/>
  <c r="J12" i="23" s="1"/>
  <c r="D20" i="20"/>
  <c r="G32" i="2" l="1"/>
  <c r="F32" i="2"/>
  <c r="G29" i="2"/>
  <c r="F29" i="2"/>
  <c r="G28" i="2"/>
  <c r="F28" i="2"/>
  <c r="G27" i="2"/>
  <c r="F27" i="2"/>
  <c r="G26" i="2"/>
  <c r="F26" i="2"/>
  <c r="G25" i="2"/>
  <c r="F25" i="2"/>
  <c r="G20" i="2"/>
  <c r="F20" i="2"/>
  <c r="G19" i="2"/>
  <c r="F19" i="2"/>
  <c r="G18" i="2"/>
  <c r="F18" i="2"/>
  <c r="G17" i="2"/>
  <c r="F17" i="2"/>
  <c r="G16" i="2"/>
  <c r="F16" i="2"/>
  <c r="G15" i="2"/>
  <c r="F15" i="2"/>
  <c r="G14" i="2"/>
  <c r="F14" i="2"/>
  <c r="G13" i="2"/>
  <c r="F13" i="2"/>
  <c r="G10" i="2"/>
  <c r="F10" i="2"/>
  <c r="G9" i="2"/>
  <c r="F9" i="2"/>
  <c r="G7" i="2"/>
  <c r="F7" i="2"/>
  <c r="G6" i="2"/>
  <c r="F6" i="2"/>
  <c r="G5" i="2"/>
  <c r="F5" i="2"/>
  <c r="U38" i="2" l="1"/>
  <c r="U37" i="2"/>
  <c r="X37" i="2" s="1"/>
  <c r="Y37" i="2" s="1"/>
  <c r="U36" i="2"/>
  <c r="V36" i="2" s="1"/>
  <c r="W36" i="2" s="1"/>
  <c r="U35" i="2"/>
  <c r="X35" i="2" s="1"/>
  <c r="Y35" i="2" s="1"/>
  <c r="U34" i="2"/>
  <c r="U33" i="2"/>
  <c r="X33" i="2" s="1"/>
  <c r="Y33" i="2" s="1"/>
  <c r="U37" i="11"/>
  <c r="U55" i="11" s="1"/>
  <c r="T56" i="11"/>
  <c r="S37" i="11"/>
  <c r="S57" i="11" s="1"/>
  <c r="R37" i="11"/>
  <c r="U4" i="2"/>
  <c r="V4" i="2" s="1"/>
  <c r="W4" i="2" s="1"/>
  <c r="U3" i="2"/>
  <c r="V3" i="2" s="1"/>
  <c r="W3" i="2" s="1"/>
  <c r="U2" i="2"/>
  <c r="X2" i="2" s="1"/>
  <c r="Y2" i="2" s="1"/>
  <c r="V2" i="2"/>
  <c r="W2" i="2" s="1"/>
  <c r="X38" i="2"/>
  <c r="Y38" i="2" s="1"/>
  <c r="V38" i="2"/>
  <c r="W38" i="2" s="1"/>
  <c r="X36" i="2"/>
  <c r="Y36" i="2" s="1"/>
  <c r="X34" i="2"/>
  <c r="Y34" i="2" s="1"/>
  <c r="V34" i="2"/>
  <c r="W34" i="2" s="1"/>
  <c r="V33" i="2"/>
  <c r="W33" i="2" s="1"/>
  <c r="U32" i="2"/>
  <c r="X32" i="2" s="1"/>
  <c r="Y32" i="2" s="1"/>
  <c r="U31" i="2"/>
  <c r="X31" i="2" s="1"/>
  <c r="Y31" i="2" s="1"/>
  <c r="U30" i="2"/>
  <c r="X30" i="2" s="1"/>
  <c r="Y30" i="2" s="1"/>
  <c r="U29" i="2"/>
  <c r="V29" i="2" s="1"/>
  <c r="W29" i="2" s="1"/>
  <c r="U28" i="2"/>
  <c r="X28" i="2"/>
  <c r="Y28" i="2" s="1"/>
  <c r="U27" i="2"/>
  <c r="V27" i="2" s="1"/>
  <c r="W27" i="2" s="1"/>
  <c r="U26" i="2"/>
  <c r="X26" i="2" s="1"/>
  <c r="Y26" i="2" s="1"/>
  <c r="U25" i="2"/>
  <c r="V25" i="2" s="1"/>
  <c r="W25" i="2" s="1"/>
  <c r="U24" i="2"/>
  <c r="X24" i="2" s="1"/>
  <c r="Y24" i="2" s="1"/>
  <c r="U23" i="2"/>
  <c r="X23" i="2" s="1"/>
  <c r="Y23" i="2" s="1"/>
  <c r="U22" i="2"/>
  <c r="X22" i="2" s="1"/>
  <c r="Y22" i="2" s="1"/>
  <c r="U21" i="2"/>
  <c r="V21" i="2" s="1"/>
  <c r="W21" i="2" s="1"/>
  <c r="U20" i="2"/>
  <c r="X20" i="2" s="1"/>
  <c r="Y20" i="2" s="1"/>
  <c r="U19" i="2"/>
  <c r="X19" i="2" s="1"/>
  <c r="Y19" i="2" s="1"/>
  <c r="U18" i="2"/>
  <c r="X18" i="2" s="1"/>
  <c r="Y18" i="2" s="1"/>
  <c r="U17" i="2"/>
  <c r="V17" i="2" s="1"/>
  <c r="W17" i="2" s="1"/>
  <c r="X17" i="2"/>
  <c r="Y17" i="2" s="1"/>
  <c r="U16" i="2"/>
  <c r="V16" i="2" s="1"/>
  <c r="W16" i="2" s="1"/>
  <c r="U15" i="2"/>
  <c r="X15" i="2" s="1"/>
  <c r="Y15" i="2" s="1"/>
  <c r="U14" i="2"/>
  <c r="X14" i="2" s="1"/>
  <c r="Y14" i="2" s="1"/>
  <c r="U13" i="2"/>
  <c r="V13" i="2" s="1"/>
  <c r="W13" i="2" s="1"/>
  <c r="U12" i="2"/>
  <c r="X12" i="2" s="1"/>
  <c r="Y12" i="2" s="1"/>
  <c r="U11" i="2"/>
  <c r="V11" i="2" s="1"/>
  <c r="W11" i="2" s="1"/>
  <c r="X11" i="2"/>
  <c r="Y11" i="2" s="1"/>
  <c r="U10" i="2"/>
  <c r="X10" i="2" s="1"/>
  <c r="Y10" i="2" s="1"/>
  <c r="U9" i="2"/>
  <c r="V9" i="2" s="1"/>
  <c r="W9" i="2" s="1"/>
  <c r="U8" i="2"/>
  <c r="V8" i="2" s="1"/>
  <c r="W8" i="2" s="1"/>
  <c r="X8" i="2"/>
  <c r="Y8" i="2" s="1"/>
  <c r="U7" i="2"/>
  <c r="X7" i="2" s="1"/>
  <c r="Y7" i="2" s="1"/>
  <c r="U6" i="2"/>
  <c r="X6" i="2" s="1"/>
  <c r="Y6" i="2" s="1"/>
  <c r="U5" i="2"/>
  <c r="V5" i="2" s="1"/>
  <c r="W5" i="2" s="1"/>
  <c r="G12" i="15"/>
  <c r="G8" i="15"/>
  <c r="G7" i="15"/>
  <c r="G6" i="15"/>
  <c r="G5" i="15"/>
  <c r="G12" i="12"/>
  <c r="G8" i="12"/>
  <c r="G7" i="12"/>
  <c r="G6" i="12"/>
  <c r="G5" i="12"/>
  <c r="G12" i="11"/>
  <c r="G5" i="11"/>
  <c r="G6" i="11"/>
  <c r="G7" i="11"/>
  <c r="G8" i="11"/>
  <c r="V28" i="2"/>
  <c r="W28" i="2" s="1"/>
  <c r="V35" i="2" l="1"/>
  <c r="W35" i="2" s="1"/>
  <c r="V23" i="2"/>
  <c r="W23" i="2" s="1"/>
  <c r="X16" i="2"/>
  <c r="Y16" i="2" s="1"/>
  <c r="X25" i="2"/>
  <c r="Y25" i="2" s="1"/>
  <c r="X9" i="2"/>
  <c r="Y9" i="2" s="1"/>
  <c r="X27" i="2"/>
  <c r="Y27" i="2" s="1"/>
  <c r="V19" i="2"/>
  <c r="W19" i="2" s="1"/>
  <c r="V24" i="2"/>
  <c r="W24" i="2" s="1"/>
  <c r="V31" i="2"/>
  <c r="W31" i="2" s="1"/>
  <c r="V37" i="2"/>
  <c r="W37" i="2" s="1"/>
  <c r="V15" i="2"/>
  <c r="W15" i="2" s="1"/>
  <c r="V20" i="2"/>
  <c r="W20" i="2" s="1"/>
  <c r="X13" i="2"/>
  <c r="Y13" i="2" s="1"/>
  <c r="V30" i="2"/>
  <c r="W30" i="2" s="1"/>
  <c r="X4" i="2"/>
  <c r="Y4" i="2" s="1"/>
  <c r="V12" i="2"/>
  <c r="W12" i="2" s="1"/>
  <c r="V7" i="2"/>
  <c r="W7" i="2" s="1"/>
  <c r="X21" i="2"/>
  <c r="Y21" i="2" s="1"/>
  <c r="D2" i="1"/>
  <c r="D2" i="22"/>
  <c r="D2" i="23"/>
  <c r="A82" i="23"/>
  <c r="I12" i="10"/>
  <c r="R56" i="11"/>
  <c r="R39" i="11"/>
  <c r="R42" i="11"/>
  <c r="R45" i="11"/>
  <c r="R49" i="11"/>
  <c r="U42" i="11"/>
  <c r="V32" i="2"/>
  <c r="W32" i="2" s="1"/>
  <c r="T42" i="11"/>
  <c r="V6" i="2"/>
  <c r="W6" i="2" s="1"/>
  <c r="V10" i="2"/>
  <c r="W10" i="2" s="1"/>
  <c r="V14" i="2"/>
  <c r="W14" i="2" s="1"/>
  <c r="V18" i="2"/>
  <c r="W18" i="2" s="1"/>
  <c r="V22" i="2"/>
  <c r="W22" i="2" s="1"/>
  <c r="V26" i="2"/>
  <c r="W26" i="2" s="1"/>
  <c r="X29" i="2"/>
  <c r="Y29" i="2" s="1"/>
  <c r="R53" i="11"/>
  <c r="T47" i="11"/>
  <c r="U50" i="11"/>
  <c r="X5" i="2"/>
  <c r="Y5" i="2" s="1"/>
  <c r="X3" i="2"/>
  <c r="Y3" i="2" s="1"/>
  <c r="T53" i="11"/>
  <c r="B84" i="22"/>
  <c r="T43" i="11"/>
  <c r="T49" i="11"/>
  <c r="T54" i="11"/>
  <c r="U40" i="11"/>
  <c r="U53" i="11"/>
  <c r="T45" i="11"/>
  <c r="T50" i="11"/>
  <c r="T55" i="11"/>
  <c r="R41" i="11"/>
  <c r="R50" i="11"/>
  <c r="T41" i="11"/>
  <c r="T46" i="11"/>
  <c r="T51" i="11"/>
  <c r="T57" i="11"/>
  <c r="U46" i="11"/>
  <c r="R38" i="11"/>
  <c r="R46" i="11"/>
  <c r="R54" i="11"/>
  <c r="T40" i="11"/>
  <c r="T44" i="11"/>
  <c r="T48" i="11"/>
  <c r="T52" i="11"/>
  <c r="U41" i="11"/>
  <c r="U48" i="11"/>
  <c r="U56" i="11"/>
  <c r="R57" i="11"/>
  <c r="U45" i="11"/>
  <c r="U52" i="11"/>
  <c r="A88" i="22"/>
  <c r="S43" i="11"/>
  <c r="S51" i="11"/>
  <c r="U57" i="11"/>
  <c r="S42" i="11"/>
  <c r="S50" i="11"/>
  <c r="O4" i="1"/>
  <c r="H72" i="1" s="1"/>
  <c r="H95" i="23" s="1"/>
  <c r="J71" i="1"/>
  <c r="J94" i="23" s="1"/>
  <c r="R43" i="11"/>
  <c r="R47" i="11"/>
  <c r="R51" i="11"/>
  <c r="R55" i="11"/>
  <c r="S38" i="11"/>
  <c r="S46" i="11"/>
  <c r="S54" i="11"/>
  <c r="I72" i="1"/>
  <c r="I95" i="23" s="1"/>
  <c r="R40" i="11"/>
  <c r="R44" i="11"/>
  <c r="R48" i="11"/>
  <c r="R52" i="11"/>
  <c r="S39" i="11"/>
  <c r="S47" i="11"/>
  <c r="S55" i="11"/>
  <c r="U44" i="11"/>
  <c r="U49" i="11"/>
  <c r="U54" i="11"/>
  <c r="S40" i="11"/>
  <c r="S44" i="11"/>
  <c r="S48" i="11"/>
  <c r="S52" i="11"/>
  <c r="S56" i="11"/>
  <c r="S41" i="11"/>
  <c r="S45" i="11"/>
  <c r="S49" i="11"/>
  <c r="S53" i="11"/>
  <c r="U43" i="11"/>
  <c r="U47" i="11"/>
  <c r="U51" i="11"/>
  <c r="A93" i="23" l="1"/>
  <c r="A81" i="22"/>
  <c r="N23" i="23"/>
  <c r="N23" i="22"/>
  <c r="I83" i="22"/>
  <c r="D85" i="22"/>
  <c r="D87" i="22"/>
  <c r="A87" i="22"/>
  <c r="H83" i="22"/>
  <c r="D84" i="22"/>
  <c r="B85" i="22"/>
  <c r="J82" i="22"/>
  <c r="A89" i="22"/>
  <c r="A86" i="22"/>
  <c r="F83" i="22"/>
  <c r="C85" i="22"/>
  <c r="G72" i="1"/>
  <c r="G95" i="23" s="1"/>
  <c r="B87" i="22"/>
  <c r="B86" i="22"/>
  <c r="N17" i="1"/>
  <c r="N18" i="1" s="1"/>
  <c r="B88" i="22"/>
  <c r="P43" i="23" l="1"/>
  <c r="P40" i="22"/>
  <c r="F85" i="22"/>
  <c r="E85" i="22"/>
  <c r="P16" i="23"/>
  <c r="Q16" i="23" s="1"/>
  <c r="P15" i="23"/>
  <c r="Q15" i="23" s="1"/>
  <c r="N24" i="22"/>
  <c r="N24" i="23"/>
  <c r="P15" i="22"/>
  <c r="Q15" i="22" s="1"/>
  <c r="P16" i="22"/>
  <c r="Q16" i="22" s="1"/>
  <c r="D88" i="22"/>
  <c r="G83" i="22"/>
  <c r="D89" i="22"/>
  <c r="D86" i="22"/>
  <c r="E84" i="22"/>
  <c r="C84" i="22"/>
  <c r="B89" i="22"/>
  <c r="P22" i="1"/>
  <c r="R16" i="1"/>
  <c r="S16" i="1" s="1"/>
  <c r="S15" i="1"/>
  <c r="N20" i="1" s="1"/>
  <c r="T16" i="1"/>
  <c r="U16" i="1" s="1"/>
  <c r="U15" i="1"/>
  <c r="D79" i="1"/>
  <c r="D102" i="23" s="1"/>
  <c r="C89" i="22"/>
  <c r="C88" i="22"/>
  <c r="C87" i="22"/>
  <c r="P20" i="1"/>
  <c r="C86" i="22"/>
  <c r="N24" i="1"/>
  <c r="N23" i="1"/>
  <c r="R43" i="23" a="1"/>
  <c r="R40" i="22" a="1"/>
  <c r="R40" i="22" l="1"/>
  <c r="R43" i="23"/>
  <c r="P19" i="1"/>
  <c r="G79" i="1"/>
  <c r="G102" i="23" s="1"/>
  <c r="P21" i="1"/>
  <c r="D90" i="22"/>
  <c r="F84" i="22"/>
  <c r="J14" i="10"/>
  <c r="C79" i="1"/>
  <c r="C102" i="23" s="1"/>
  <c r="E86" i="22"/>
  <c r="F86" i="22"/>
  <c r="P16" i="1"/>
  <c r="Q16" i="1" s="1"/>
  <c r="P15" i="1"/>
  <c r="Q15" i="1" s="1"/>
  <c r="P23" i="1" l="1"/>
  <c r="Q19" i="1" s="1"/>
  <c r="G90" i="22"/>
  <c r="E89" i="22"/>
  <c r="E87" i="22"/>
  <c r="F87" i="22"/>
  <c r="E88" i="22"/>
  <c r="F89" i="22"/>
  <c r="C90" i="22"/>
  <c r="F88" i="22"/>
  <c r="G12" i="10"/>
  <c r="H12" i="10"/>
  <c r="J79" i="1"/>
  <c r="J102" i="23" s="1"/>
  <c r="F79" i="1"/>
  <c r="F102" i="23" s="1"/>
  <c r="E79" i="1"/>
  <c r="E102" i="23" s="1"/>
  <c r="Q21" i="1" l="1"/>
  <c r="Q22" i="1"/>
  <c r="Q20" i="1"/>
  <c r="J90" i="22"/>
  <c r="E90" i="22"/>
  <c r="F90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 Beach</author>
  </authors>
  <commentList>
    <comment ref="N3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N3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N36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N40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N42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N46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N48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N52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N54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N57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N60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N62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N65" authorId="0" shapeId="0" xr:uid="{00000000-0006-0000-0400-00000D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N67" authorId="0" shapeId="0" xr:uid="{00000000-0006-0000-0400-00000E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 Beach</author>
  </authors>
  <commentList>
    <comment ref="O3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35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37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40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42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45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47" authorId="0" shapeId="0" xr:uid="{00000000-0006-0000-0500-000007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50" authorId="0" shapeId="0" xr:uid="{00000000-0006-0000-0500-000008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52" authorId="0" shapeId="0" xr:uid="{00000000-0006-0000-0500-000009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55" authorId="0" shapeId="0" xr:uid="{00000000-0006-0000-0500-00000A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58" authorId="0" shapeId="0" xr:uid="{00000000-0006-0000-0500-00000B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60" authorId="0" shapeId="0" xr:uid="{00000000-0006-0000-0500-00000C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6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65" authorId="0" shapeId="0" xr:uid="{00000000-0006-0000-0500-00000E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 Beach</author>
  </authors>
  <commentList>
    <comment ref="O30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34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36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38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4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45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49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51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54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56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58" authorId="0" shapeId="0" xr:uid="{00000000-0006-0000-0600-00000B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60" authorId="0" shapeId="0" xr:uid="{00000000-0006-0000-0600-00000C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63" authorId="0" shapeId="0" xr:uid="{00000000-0006-0000-0600-00000D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  <comment ref="O66" authorId="0" shapeId="0" xr:uid="{00000000-0006-0000-0600-00000E000000}">
      <text>
        <r>
          <rPr>
            <b/>
            <sz val="9"/>
            <color indexed="81"/>
            <rFont val="Tahoma"/>
            <family val="2"/>
          </rPr>
          <t>Aaron Beach:</t>
        </r>
        <r>
          <rPr>
            <sz val="9"/>
            <color indexed="81"/>
            <rFont val="Tahoma"/>
            <family val="2"/>
          </rPr>
          <t xml:space="preserve">
Array - shift cntrl enter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Aitken</author>
  </authors>
  <commentList>
    <comment ref="S33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David Aitken:</t>
        </r>
        <r>
          <rPr>
            <sz val="9"/>
            <color indexed="81"/>
            <rFont val="Tahoma"/>
            <family val="2"/>
          </rPr>
          <t xml:space="preserve">
Paracanoe data</t>
        </r>
      </text>
    </comment>
  </commentList>
</comments>
</file>

<file path=xl/sharedStrings.xml><?xml version="1.0" encoding="utf-8"?>
<sst xmlns="http://schemas.openxmlformats.org/spreadsheetml/2006/main" count="836" uniqueCount="369">
  <si>
    <t>Boat Name</t>
  </si>
  <si>
    <t>Boat Class</t>
  </si>
  <si>
    <t>Prog Speed</t>
  </si>
  <si>
    <t>Race Type</t>
  </si>
  <si>
    <t>Place</t>
  </si>
  <si>
    <t>Event Type</t>
  </si>
  <si>
    <t>Location</t>
  </si>
  <si>
    <t>Wind Direction</t>
  </si>
  <si>
    <t>Lane No</t>
  </si>
  <si>
    <t>Race Distance</t>
  </si>
  <si>
    <t>Water Type</t>
  </si>
  <si>
    <t>Reaction Time</t>
  </si>
  <si>
    <t>K1</t>
  </si>
  <si>
    <t>MK1-1000</t>
  </si>
  <si>
    <t>A Final</t>
  </si>
  <si>
    <t>1st</t>
  </si>
  <si>
    <t>World Championships</t>
  </si>
  <si>
    <t>Adelaide</t>
  </si>
  <si>
    <t>Tail</t>
  </si>
  <si>
    <t>Fresh</t>
  </si>
  <si>
    <t>MK2 -1000</t>
  </si>
  <si>
    <t>B Final</t>
  </si>
  <si>
    <t>2nd</t>
  </si>
  <si>
    <t>World Cup</t>
  </si>
  <si>
    <t>Auronzo</t>
  </si>
  <si>
    <t>Head</t>
  </si>
  <si>
    <t>Salt</t>
  </si>
  <si>
    <t>K4</t>
  </si>
  <si>
    <t>MK4 -1000</t>
  </si>
  <si>
    <t>C Final</t>
  </si>
  <si>
    <t>3rd</t>
  </si>
  <si>
    <t>National Championships</t>
  </si>
  <si>
    <t>Beijing</t>
  </si>
  <si>
    <t>Cross</t>
  </si>
  <si>
    <t>WK1-1000</t>
  </si>
  <si>
    <t>Heat</t>
  </si>
  <si>
    <t>4th</t>
  </si>
  <si>
    <t>National Selections</t>
  </si>
  <si>
    <t>Budapest</t>
  </si>
  <si>
    <t>WK2-1000</t>
  </si>
  <si>
    <t>Semi-Final</t>
  </si>
  <si>
    <t>5th</t>
  </si>
  <si>
    <t>Training Camp</t>
  </si>
  <si>
    <t>Canberra</t>
  </si>
  <si>
    <t>WK4-1000</t>
  </si>
  <si>
    <t>Time Trial</t>
  </si>
  <si>
    <t>6th</t>
  </si>
  <si>
    <t>Duisburg</t>
  </si>
  <si>
    <t>C1</t>
  </si>
  <si>
    <t>MC1-1000</t>
  </si>
  <si>
    <t>7th</t>
  </si>
  <si>
    <t>Olympic Games</t>
  </si>
  <si>
    <t>Eton</t>
  </si>
  <si>
    <t>C2</t>
  </si>
  <si>
    <t>MC2-1000</t>
  </si>
  <si>
    <t>8th</t>
  </si>
  <si>
    <t>Oceania Championships</t>
  </si>
  <si>
    <t>Gold Coast</t>
  </si>
  <si>
    <t>C4</t>
  </si>
  <si>
    <t>MC4-1000</t>
  </si>
  <si>
    <t>9th</t>
  </si>
  <si>
    <t>Lake Kapiro - NZ</t>
  </si>
  <si>
    <t>MK1 - 500</t>
  </si>
  <si>
    <t>NA</t>
  </si>
  <si>
    <t>London</t>
  </si>
  <si>
    <t>MK2 - 500</t>
  </si>
  <si>
    <t>Milan</t>
  </si>
  <si>
    <t>MK4 - 500</t>
  </si>
  <si>
    <t>Moscow</t>
  </si>
  <si>
    <t>WK1 - 500</t>
  </si>
  <si>
    <t>Munich</t>
  </si>
  <si>
    <t>WK2 - 500</t>
  </si>
  <si>
    <t>Perth</t>
  </si>
  <si>
    <t>WK4 - 500</t>
  </si>
  <si>
    <t>Poznan</t>
  </si>
  <si>
    <t>Racice</t>
  </si>
  <si>
    <t>MK1 - 200</t>
  </si>
  <si>
    <t>SIRC</t>
  </si>
  <si>
    <t>MK2 - 200</t>
  </si>
  <si>
    <t>Szeged</t>
  </si>
  <si>
    <t>WK1 - 200</t>
  </si>
  <si>
    <t>Szolnok</t>
  </si>
  <si>
    <t>WK2 - 200</t>
  </si>
  <si>
    <t>Varese</t>
  </si>
  <si>
    <t>MC1-200</t>
  </si>
  <si>
    <t>Vichy</t>
  </si>
  <si>
    <t xml:space="preserve">Training </t>
  </si>
  <si>
    <t>Time</t>
  </si>
  <si>
    <t>MC1 - 500</t>
  </si>
  <si>
    <t>MC2 - 500</t>
  </si>
  <si>
    <t>MC2-200</t>
  </si>
  <si>
    <t>WC1-200</t>
  </si>
  <si>
    <t>WC2-200</t>
  </si>
  <si>
    <t>GraphV-Min</t>
  </si>
  <si>
    <t>GraphV-Max</t>
  </si>
  <si>
    <t>GraphSR-Min</t>
  </si>
  <si>
    <t>GraphSR-Max</t>
  </si>
  <si>
    <t>Rio-Lagoa Stadium</t>
  </si>
  <si>
    <t>Name</t>
  </si>
  <si>
    <t>Do Not Enter data here</t>
  </si>
  <si>
    <t>Event</t>
  </si>
  <si>
    <t>Race</t>
  </si>
  <si>
    <t xml:space="preserve"> </t>
  </si>
  <si>
    <t>Finish Place</t>
  </si>
  <si>
    <t>Reaction Time Constant</t>
  </si>
  <si>
    <t>Physiological Data</t>
  </si>
  <si>
    <t>Seat 1</t>
  </si>
  <si>
    <t>Seat 2</t>
  </si>
  <si>
    <t>Seat 3</t>
  </si>
  <si>
    <t>Seat 4</t>
  </si>
  <si>
    <t>Post Race La</t>
  </si>
  <si>
    <t>Post Cool Down La</t>
  </si>
  <si>
    <t xml:space="preserve">Race </t>
  </si>
  <si>
    <t>Start detection</t>
  </si>
  <si>
    <t>Start Detect</t>
  </si>
  <si>
    <t>Mmx-auto</t>
  </si>
  <si>
    <t>Colelction Method</t>
  </si>
  <si>
    <t>Mmx - B4</t>
  </si>
  <si>
    <t>Mmx - B5</t>
  </si>
  <si>
    <t>Video</t>
  </si>
  <si>
    <t>Collection Method</t>
  </si>
  <si>
    <t>Official Finish Time (m:ss.ss)</t>
  </si>
  <si>
    <t>Winning Time (m:ss.ss)</t>
  </si>
  <si>
    <t>Boolean</t>
  </si>
  <si>
    <t>Yes</t>
  </si>
  <si>
    <t>No</t>
  </si>
  <si>
    <t>Enter Date below</t>
  </si>
  <si>
    <t>Name (from Event Setup)</t>
  </si>
  <si>
    <t>Mmx-mnl</t>
  </si>
  <si>
    <t>Initial Mvmnt - Video</t>
  </si>
  <si>
    <t>Gate Drop - Video</t>
  </si>
  <si>
    <t>Enter Data Below</t>
  </si>
  <si>
    <t>Dist</t>
  </si>
  <si>
    <t>HEAT Data</t>
  </si>
  <si>
    <t>Lane:</t>
  </si>
  <si>
    <t>Place:</t>
  </si>
  <si>
    <t>Official T:</t>
  </si>
  <si>
    <t>1st Place T:</t>
  </si>
  <si>
    <t>% to Win T:</t>
  </si>
  <si>
    <t>Distance (m)</t>
  </si>
  <si>
    <t>Time (m:ss.00)</t>
  </si>
  <si>
    <t>Split Time (s)</t>
  </si>
  <si>
    <t>Stroke Rate (1/min)</t>
  </si>
  <si>
    <t>Velocity (km/hr)</t>
  </si>
  <si>
    <t>Avge</t>
  </si>
  <si>
    <t>Split Time and Diffs</t>
  </si>
  <si>
    <t>Splits</t>
  </si>
  <si>
    <t>Portugal</t>
  </si>
  <si>
    <t>Minsk</t>
  </si>
  <si>
    <t>Str. Rte.</t>
  </si>
  <si>
    <t xml:space="preserve">Dist </t>
  </si>
  <si>
    <t>per str</t>
  </si>
  <si>
    <t>Vel (km/h)</t>
  </si>
  <si>
    <t>Average</t>
  </si>
  <si>
    <t>Dist per Str</t>
  </si>
  <si>
    <t>Use today's Date (button)        OR</t>
  </si>
  <si>
    <t>MKL3</t>
  </si>
  <si>
    <t>MKL2</t>
  </si>
  <si>
    <t>MKL1</t>
  </si>
  <si>
    <t>WKL1</t>
  </si>
  <si>
    <t>WKL2</t>
  </si>
  <si>
    <t>WKL3</t>
  </si>
  <si>
    <t>MV3</t>
  </si>
  <si>
    <t>MV2</t>
  </si>
  <si>
    <t>MV1</t>
  </si>
  <si>
    <t>WV3</t>
  </si>
  <si>
    <t>WV2</t>
  </si>
  <si>
    <t>WV1</t>
  </si>
  <si>
    <t>Chart Properties</t>
  </si>
  <si>
    <t>Min</t>
  </si>
  <si>
    <t>Max</t>
  </si>
  <si>
    <t>Velocity</t>
  </si>
  <si>
    <t>Stroke Rate</t>
  </si>
  <si>
    <t>Semi Data</t>
  </si>
  <si>
    <t>Xmin</t>
  </si>
  <si>
    <t>Xmax</t>
  </si>
  <si>
    <t>Y1min</t>
  </si>
  <si>
    <t>Y1max</t>
  </si>
  <si>
    <t>Y2min</t>
  </si>
  <si>
    <t>Y2max</t>
  </si>
  <si>
    <t>Chart Axis data</t>
  </si>
  <si>
    <t>XUnitMjr</t>
  </si>
  <si>
    <t>XUnitMnr</t>
  </si>
  <si>
    <t>Y1UnitMjr</t>
  </si>
  <si>
    <t>Y1UnitMnr</t>
  </si>
  <si>
    <t>Y2UnitMjr</t>
  </si>
  <si>
    <t>Y2UnitMnr</t>
  </si>
  <si>
    <t>Final Data</t>
  </si>
  <si>
    <t>Create FileName</t>
  </si>
  <si>
    <t>Auto FileName:</t>
  </si>
  <si>
    <t>Report Location:</t>
  </si>
  <si>
    <t>Excel Dir:</t>
  </si>
  <si>
    <t>Regatta Enviromental Conditions</t>
  </si>
  <si>
    <r>
      <t>Temp (</t>
    </r>
    <r>
      <rPr>
        <b/>
        <vertAlign val="superscript"/>
        <sz val="9"/>
        <rFont val="Arial"/>
        <family val="2"/>
      </rPr>
      <t>o</t>
    </r>
    <r>
      <rPr>
        <b/>
        <sz val="9"/>
        <rFont val="Arial"/>
        <family val="2"/>
      </rPr>
      <t>C)</t>
    </r>
  </si>
  <si>
    <t>Humidity (%)</t>
  </si>
  <si>
    <t>Wind</t>
  </si>
  <si>
    <t>Speed (m/s)</t>
  </si>
  <si>
    <t>Direction</t>
  </si>
  <si>
    <t>Water</t>
  </si>
  <si>
    <t>Heat Weather Data</t>
  </si>
  <si>
    <t>Air</t>
  </si>
  <si>
    <t>Type</t>
  </si>
  <si>
    <t>Cross Tail - L</t>
  </si>
  <si>
    <t>Cross Head - R</t>
  </si>
  <si>
    <t>Cross Tail - R</t>
  </si>
  <si>
    <t>Cross Head - L</t>
  </si>
  <si>
    <t>Semi Weather Data</t>
  </si>
  <si>
    <t>Final Weather Data</t>
  </si>
  <si>
    <t>State Championships</t>
  </si>
  <si>
    <t>Belgrade</t>
  </si>
  <si>
    <t>Gender</t>
  </si>
  <si>
    <t>Age Group</t>
  </si>
  <si>
    <t>Men</t>
  </si>
  <si>
    <t>Women</t>
  </si>
  <si>
    <t>Senior</t>
  </si>
  <si>
    <t>U23</t>
  </si>
  <si>
    <t>U18</t>
  </si>
  <si>
    <t>U16</t>
  </si>
  <si>
    <t>Distance</t>
  </si>
  <si>
    <t>Snr Time</t>
  </si>
  <si>
    <t>U23 Time</t>
  </si>
  <si>
    <t>U18 Time</t>
  </si>
  <si>
    <t>K2</t>
  </si>
  <si>
    <t>M</t>
  </si>
  <si>
    <t>W</t>
  </si>
  <si>
    <t>SR (min)</t>
  </si>
  <si>
    <t>Note: Chart property calculations are done in this sheet.</t>
  </si>
  <si>
    <t>Last</t>
  </si>
  <si>
    <t>First</t>
  </si>
  <si>
    <t>Full Name</t>
  </si>
  <si>
    <t>Australian Sprint Canoe Benchmark Performance Times Report</t>
  </si>
  <si>
    <t>Report Date</t>
  </si>
  <si>
    <t xml:space="preserve">Male Report </t>
  </si>
  <si>
    <t>G Medal</t>
  </si>
  <si>
    <t>S Medal</t>
  </si>
  <si>
    <t>B Medal</t>
  </si>
  <si>
    <t xml:space="preserve">A Final </t>
  </si>
  <si>
    <t xml:space="preserve">Female Report </t>
  </si>
  <si>
    <t>Winning Time</t>
  </si>
  <si>
    <t>OPEN</t>
  </si>
  <si>
    <t>GMT Data</t>
  </si>
  <si>
    <t>Average Vel</t>
  </si>
  <si>
    <t>Auto Updated</t>
  </si>
  <si>
    <t>Enter Athletes Name below ….</t>
  </si>
  <si>
    <t>Active Athletes</t>
  </si>
  <si>
    <t xml:space="preserve">U18/U23 and Non-Active Regatta Athletes </t>
  </si>
  <si>
    <t>Donald</t>
  </si>
  <si>
    <t>Trump</t>
  </si>
  <si>
    <t>Calculations</t>
  </si>
  <si>
    <t>File and Report Variables ( Enter File and Report Directories).</t>
  </si>
  <si>
    <t>Brigden-Jones</t>
  </si>
  <si>
    <t>Murray</t>
  </si>
  <si>
    <t>Riley</t>
  </si>
  <si>
    <t>GraphV(kmh)-Min</t>
  </si>
  <si>
    <t>GraphV(kmh)-Max</t>
  </si>
  <si>
    <t>EWS</t>
  </si>
  <si>
    <t>SR (diff mean)</t>
  </si>
  <si>
    <t>Vel (diff mean)</t>
  </si>
  <si>
    <t>Vel (diff mean from 200m)</t>
  </si>
  <si>
    <t>SR (diff mean from 200m)</t>
  </si>
  <si>
    <t>% of WB:</t>
  </si>
  <si>
    <t>WB:</t>
  </si>
  <si>
    <t>Wind Speed:</t>
  </si>
  <si>
    <t>Wind Conditions:</t>
  </si>
  <si>
    <t>Water Temp:</t>
  </si>
  <si>
    <t>Air Temp:</t>
  </si>
  <si>
    <t>Humidity:</t>
  </si>
  <si>
    <t>K1 1000</t>
  </si>
  <si>
    <t>K2 1000</t>
  </si>
  <si>
    <t>K4 1000</t>
  </si>
  <si>
    <t/>
  </si>
  <si>
    <t>C1 1000</t>
  </si>
  <si>
    <t>C2 1000</t>
  </si>
  <si>
    <t>K1 200</t>
  </si>
  <si>
    <t>K1 500</t>
  </si>
  <si>
    <t>K2 500</t>
  </si>
  <si>
    <t>K4 500</t>
  </si>
  <si>
    <t>C1 200</t>
  </si>
  <si>
    <t>C2 500</t>
  </si>
  <si>
    <t>Stewart</t>
  </si>
  <si>
    <t>Split from Mean calculation</t>
  </si>
  <si>
    <t>CHART AXIS DATA</t>
  </si>
  <si>
    <t>plus and minus 4%</t>
  </si>
  <si>
    <t>min on graph</t>
  </si>
  <si>
    <t>Max on graph</t>
  </si>
  <si>
    <t>SR (max)</t>
  </si>
  <si>
    <t>eWPS</t>
  </si>
  <si>
    <t>Race profile</t>
  </si>
  <si>
    <t>Race Summary</t>
  </si>
  <si>
    <t>1000m</t>
  </si>
  <si>
    <t>Date</t>
  </si>
  <si>
    <t>Av</t>
  </si>
  <si>
    <t xml:space="preserve"> Sprint Canoe Race Analysis Profile </t>
  </si>
  <si>
    <t>Variation from Mean</t>
  </si>
  <si>
    <t>Pace per 250m</t>
  </si>
  <si>
    <t>Race Comparison</t>
  </si>
  <si>
    <t>Stroke Rate (spm)</t>
  </si>
  <si>
    <t>Velocity (km/h)</t>
  </si>
  <si>
    <t>PASTE 25m SPLIT EXPORT HERE</t>
  </si>
  <si>
    <t>500m</t>
  </si>
  <si>
    <t>Tom</t>
  </si>
  <si>
    <t>Ethan</t>
  </si>
  <si>
    <t>Byron</t>
  </si>
  <si>
    <t>Dylan</t>
  </si>
  <si>
    <t>Jakob</t>
  </si>
  <si>
    <t>Jo</t>
  </si>
  <si>
    <t>Keily</t>
  </si>
  <si>
    <t>Kailey</t>
  </si>
  <si>
    <t>Jemma</t>
  </si>
  <si>
    <t>Ella</t>
  </si>
  <si>
    <t>Angus</t>
  </si>
  <si>
    <t>Ashby</t>
  </si>
  <si>
    <t>Fletcher</t>
  </si>
  <si>
    <t>Toby</t>
  </si>
  <si>
    <t>Jarrah</t>
  </si>
  <si>
    <t>Isabelle</t>
  </si>
  <si>
    <t>Alisa</t>
  </si>
  <si>
    <t>Nicci</t>
  </si>
  <si>
    <t>Eli</t>
  </si>
  <si>
    <t>Noah</t>
  </si>
  <si>
    <t>Jasmine</t>
  </si>
  <si>
    <t>Neville</t>
  </si>
  <si>
    <t>Chadwick</t>
  </si>
  <si>
    <t>Littlehales</t>
  </si>
  <si>
    <t>Schmidt</t>
  </si>
  <si>
    <t>Dober</t>
  </si>
  <si>
    <t>Harlen</t>
  </si>
  <si>
    <t>Smith</t>
  </si>
  <si>
    <t>Beere</t>
  </si>
  <si>
    <t>Hughes</t>
  </si>
  <si>
    <t>Hammond</t>
  </si>
  <si>
    <t>PCK1</t>
  </si>
  <si>
    <t>PCK2</t>
  </si>
  <si>
    <t>PCK4</t>
  </si>
  <si>
    <t>PCC1</t>
  </si>
  <si>
    <t>PCC2</t>
  </si>
  <si>
    <t>PCC4</t>
  </si>
  <si>
    <t>Grand Prix 1</t>
  </si>
  <si>
    <t>Grand Prix 2</t>
  </si>
  <si>
    <t>Tinus</t>
  </si>
  <si>
    <t>Koekemoer</t>
  </si>
  <si>
    <t>Allen</t>
  </si>
  <si>
    <t>Cunningham</t>
  </si>
  <si>
    <t>Armstrong</t>
  </si>
  <si>
    <t>Schooley</t>
  </si>
  <si>
    <t>Sheppard</t>
  </si>
  <si>
    <t>Rupenovic</t>
  </si>
  <si>
    <t>van der Kwartel</t>
  </si>
  <si>
    <t>Veseley</t>
  </si>
  <si>
    <t>Newton</t>
  </si>
  <si>
    <t>Clarke</t>
  </si>
  <si>
    <t>Locke</t>
  </si>
  <si>
    <t>Jaime</t>
  </si>
  <si>
    <t>Roberts</t>
  </si>
  <si>
    <t>Tim</t>
  </si>
  <si>
    <t>Lodge</t>
  </si>
  <si>
    <t>Georgia</t>
  </si>
  <si>
    <t>Sinclair</t>
  </si>
  <si>
    <t>Calm</t>
  </si>
  <si>
    <t>Lachlan</t>
  </si>
  <si>
    <t>Tame</t>
  </si>
  <si>
    <t>U21</t>
  </si>
  <si>
    <t>Split</t>
  </si>
  <si>
    <t>Secs</t>
  </si>
  <si>
    <t>Vel</t>
  </si>
  <si>
    <t>SR</t>
  </si>
  <si>
    <t>C:\Users\aaron.beach\Dropbox\Kayak 2019-2020\NSWIS 2020 competitions\GP2\PDF Reports\</t>
  </si>
  <si>
    <t>C:\Users\aaron.beach\Dropbox\Kayak 2019-2020\NSWIS 2020 competitions\GP2\Excel Files\</t>
  </si>
  <si>
    <t>Fletcher 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</si>
</sst>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m:ss.00"/>
    <numFmt numFmtId="165" formatCode="0.0"/>
    <numFmt numFmtId="166" formatCode="[$-C09]dd\-mmm\-yy;@"/>
    <numFmt numFmtId="167" formatCode="mm:ss.00"/>
    <numFmt numFmtId="168" formatCode="0.0%"/>
    <numFmt numFmtId="169" formatCode="d/mm/yy;@"/>
    <numFmt numFmtId="170" formatCode="m:ss.0"/>
    <numFmt numFmtId="171" formatCode="yyyymmdd"/>
    <numFmt numFmtId="172" formatCode="[$-F800]dddd\,\ mmmm\ dd\,\ yyyy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rgb="FF0070C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9"/>
      <color indexed="10"/>
      <name val="Arial"/>
      <family val="2"/>
    </font>
    <font>
      <b/>
      <i/>
      <sz val="9"/>
      <name val="Arial"/>
      <family val="2"/>
    </font>
    <font>
      <sz val="9"/>
      <color theme="1"/>
      <name val="Calibri"/>
      <family val="2"/>
      <scheme val="minor"/>
    </font>
    <font>
      <b/>
      <sz val="9"/>
      <color rgb="FF0070C0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name val="Arial"/>
      <family val="2"/>
    </font>
    <font>
      <b/>
      <sz val="16"/>
      <color theme="1"/>
      <name val="Calibri"/>
      <family val="2"/>
      <scheme val="minor"/>
    </font>
    <font>
      <sz val="9"/>
      <color rgb="FF000000"/>
      <name val="Calibri"/>
      <family val="2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vertAlign val="superscript"/>
      <sz val="9"/>
      <name val="Arial"/>
      <family val="2"/>
    </font>
    <font>
      <sz val="9"/>
      <color theme="0" tint="-0.34998626667073579"/>
      <name val="Arial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172D57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9"/>
        <bgColor indexed="64"/>
      </patternFill>
    </fill>
  </fills>
  <borders count="39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 style="thick">
        <color theme="0" tint="-0.499984740745262"/>
      </top>
      <bottom/>
      <diagonal/>
    </border>
    <border>
      <left/>
      <right style="thick">
        <color theme="0" tint="-0.499984740745262"/>
      </right>
      <top style="thick">
        <color theme="0" tint="-0.499984740745262"/>
      </top>
      <bottom/>
      <diagonal/>
    </border>
    <border>
      <left/>
      <right style="thick">
        <color theme="0" tint="-0.499984740745262"/>
      </right>
      <top/>
      <bottom style="thick">
        <color theme="0" tint="-0.499984740745262"/>
      </bottom>
      <diagonal/>
    </border>
    <border>
      <left/>
      <right style="thick">
        <color theme="0" tint="-0.499984740745262"/>
      </right>
      <top/>
      <bottom/>
      <diagonal/>
    </border>
    <border>
      <left/>
      <right/>
      <top/>
      <bottom style="thick">
        <color theme="0" tint="-0.499984740745262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theme="0" tint="-0.24994659260841701"/>
      </bottom>
      <diagonal/>
    </border>
    <border>
      <left/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  <border>
      <left style="thick">
        <color theme="0" tint="-0.499984740745262"/>
      </left>
      <right/>
      <top/>
      <bottom style="thick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6" fillId="0" borderId="0"/>
  </cellStyleXfs>
  <cellXfs count="378">
    <xf numFmtId="0" fontId="0" fillId="0" borderId="0" xfId="0"/>
    <xf numFmtId="0" fontId="2" fillId="0" borderId="0" xfId="1" applyFont="1"/>
    <xf numFmtId="0" fontId="3" fillId="0" borderId="0" xfId="1" applyFont="1"/>
    <xf numFmtId="2" fontId="3" fillId="0" borderId="0" xfId="1" applyNumberFormat="1" applyFont="1"/>
    <xf numFmtId="47" fontId="3" fillId="0" borderId="0" xfId="1" applyNumberFormat="1" applyFont="1"/>
    <xf numFmtId="2" fontId="3" fillId="0" borderId="0" xfId="1" applyNumberFormat="1" applyFont="1" applyFill="1"/>
    <xf numFmtId="165" fontId="3" fillId="0" borderId="0" xfId="1" applyNumberFormat="1" applyFont="1"/>
    <xf numFmtId="0" fontId="8" fillId="0" borderId="0" xfId="1" applyFont="1"/>
    <xf numFmtId="0" fontId="2" fillId="0" borderId="0" xfId="1" applyFont="1" applyFill="1" applyAlignment="1">
      <alignment horizontal="center"/>
    </xf>
    <xf numFmtId="0" fontId="3" fillId="0" borderId="0" xfId="1" applyFont="1" applyFill="1"/>
    <xf numFmtId="0" fontId="3" fillId="0" borderId="0" xfId="1" quotePrefix="1" applyFont="1" applyFill="1"/>
    <xf numFmtId="1" fontId="3" fillId="0" borderId="0" xfId="1" applyNumberFormat="1" applyFont="1" applyFill="1"/>
    <xf numFmtId="0" fontId="2" fillId="7" borderId="0" xfId="1" applyFont="1" applyFill="1"/>
    <xf numFmtId="0" fontId="9" fillId="0" borderId="0" xfId="1" applyFont="1"/>
    <xf numFmtId="2" fontId="3" fillId="0" borderId="0" xfId="1" applyNumberFormat="1" applyFont="1" applyAlignment="1">
      <alignment horizontal="center"/>
    </xf>
    <xf numFmtId="0" fontId="2" fillId="9" borderId="0" xfId="1" applyFont="1" applyFill="1"/>
    <xf numFmtId="0" fontId="3" fillId="0" borderId="0" xfId="1" applyFont="1" applyAlignment="1">
      <alignment horizontal="center"/>
    </xf>
    <xf numFmtId="164" fontId="3" fillId="10" borderId="0" xfId="1" applyNumberFormat="1" applyFont="1" applyFill="1"/>
    <xf numFmtId="0" fontId="3" fillId="0" borderId="0" xfId="1" applyFont="1" applyFill="1" applyAlignment="1">
      <alignment horizontal="left"/>
    </xf>
    <xf numFmtId="0" fontId="2" fillId="11" borderId="0" xfId="1" applyFont="1" applyFill="1"/>
    <xf numFmtId="0" fontId="2" fillId="4" borderId="0" xfId="1" applyFont="1" applyFill="1"/>
    <xf numFmtId="0" fontId="3" fillId="4" borderId="0" xfId="1" applyFont="1" applyFill="1"/>
    <xf numFmtId="167" fontId="3" fillId="4" borderId="0" xfId="1" applyNumberFormat="1" applyFont="1" applyFill="1"/>
    <xf numFmtId="0" fontId="2" fillId="0" borderId="0" xfId="1" applyFont="1" applyAlignment="1">
      <alignment wrapText="1"/>
    </xf>
    <xf numFmtId="0" fontId="3" fillId="12" borderId="0" xfId="1" applyFont="1" applyFill="1"/>
    <xf numFmtId="0" fontId="2" fillId="0" borderId="0" xfId="1" applyFont="1" applyFill="1"/>
    <xf numFmtId="168" fontId="3" fillId="0" borderId="0" xfId="2" applyNumberFormat="1" applyFont="1"/>
    <xf numFmtId="164" fontId="3" fillId="0" borderId="0" xfId="1" applyNumberFormat="1" applyFont="1" applyFill="1"/>
    <xf numFmtId="0" fontId="3" fillId="0" borderId="0" xfId="1" applyFont="1" applyFill="1" applyAlignment="1"/>
    <xf numFmtId="0" fontId="3" fillId="14" borderId="0" xfId="1" applyFont="1" applyFill="1"/>
    <xf numFmtId="0" fontId="11" fillId="0" borderId="0" xfId="1" applyFont="1"/>
    <xf numFmtId="0" fontId="2" fillId="17" borderId="0" xfId="1" applyFont="1" applyFill="1"/>
    <xf numFmtId="0" fontId="12" fillId="0" borderId="0" xfId="0" applyFont="1"/>
    <xf numFmtId="0" fontId="10" fillId="0" borderId="0" xfId="0" applyFont="1"/>
    <xf numFmtId="0" fontId="4" fillId="0" borderId="0" xfId="1" applyFont="1" applyFill="1" applyAlignment="1">
      <alignment horizontal="left"/>
    </xf>
    <xf numFmtId="0" fontId="10" fillId="14" borderId="0" xfId="0" applyFont="1" applyFill="1"/>
    <xf numFmtId="0" fontId="3" fillId="14" borderId="0" xfId="1" applyFont="1" applyFill="1" applyAlignment="1">
      <alignment horizontal="center"/>
    </xf>
    <xf numFmtId="0" fontId="3" fillId="14" borderId="0" xfId="1" applyFont="1" applyFill="1" applyAlignment="1">
      <alignment horizontal="left"/>
    </xf>
    <xf numFmtId="0" fontId="14" fillId="0" borderId="0" xfId="1" applyFont="1"/>
    <xf numFmtId="14" fontId="3" fillId="0" borderId="0" xfId="1" applyNumberFormat="1" applyFont="1" applyFill="1" applyAlignment="1"/>
    <xf numFmtId="0" fontId="10" fillId="3" borderId="0" xfId="0" applyFont="1" applyFill="1"/>
    <xf numFmtId="0" fontId="3" fillId="4" borderId="0" xfId="1" applyFont="1" applyFill="1" applyAlignment="1">
      <alignment wrapText="1"/>
    </xf>
    <xf numFmtId="0" fontId="16" fillId="0" borderId="0" xfId="0" applyFont="1"/>
    <xf numFmtId="0" fontId="3" fillId="14" borderId="0" xfId="1" applyNumberFormat="1" applyFont="1" applyFill="1" applyAlignment="1"/>
    <xf numFmtId="166" fontId="13" fillId="14" borderId="0" xfId="1" applyNumberFormat="1" applyFont="1" applyFill="1"/>
    <xf numFmtId="166" fontId="10" fillId="0" borderId="0" xfId="0" applyNumberFormat="1" applyFont="1" applyFill="1"/>
    <xf numFmtId="0" fontId="7" fillId="0" borderId="0" xfId="0" applyFont="1"/>
    <xf numFmtId="47" fontId="3" fillId="13" borderId="0" xfId="1" applyNumberFormat="1" applyFont="1" applyFill="1"/>
    <xf numFmtId="2" fontId="3" fillId="8" borderId="0" xfId="1" applyNumberFormat="1" applyFont="1" applyFill="1" applyAlignment="1">
      <alignment horizontal="left"/>
    </xf>
    <xf numFmtId="164" fontId="12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165" fontId="12" fillId="0" borderId="1" xfId="0" applyNumberFormat="1" applyFont="1" applyBorder="1" applyAlignment="1">
      <alignment horizontal="center"/>
    </xf>
    <xf numFmtId="1" fontId="12" fillId="0" borderId="1" xfId="0" applyNumberFormat="1" applyFont="1" applyBorder="1" applyAlignment="1">
      <alignment horizontal="center"/>
    </xf>
    <xf numFmtId="0" fontId="21" fillId="0" borderId="0" xfId="0" applyFont="1"/>
    <xf numFmtId="14" fontId="3" fillId="0" borderId="0" xfId="1" applyNumberFormat="1" applyFont="1" applyFill="1"/>
    <xf numFmtId="14" fontId="3" fillId="0" borderId="0" xfId="1" applyNumberFormat="1" applyFont="1"/>
    <xf numFmtId="169" fontId="3" fillId="0" borderId="0" xfId="1" applyNumberFormat="1" applyFont="1"/>
    <xf numFmtId="0" fontId="12" fillId="0" borderId="0" xfId="0" applyFont="1" applyFill="1"/>
    <xf numFmtId="0" fontId="3" fillId="0" borderId="0" xfId="0" applyFont="1" applyFill="1"/>
    <xf numFmtId="0" fontId="3" fillId="0" borderId="0" xfId="0" applyFont="1"/>
    <xf numFmtId="0" fontId="2" fillId="0" borderId="0" xfId="0" applyFont="1" applyAlignment="1">
      <alignment horizontal="left"/>
    </xf>
    <xf numFmtId="0" fontId="3" fillId="0" borderId="2" xfId="0" applyFont="1" applyFill="1" applyBorder="1"/>
    <xf numFmtId="0" fontId="3" fillId="0" borderId="3" xfId="0" applyFont="1" applyFill="1" applyBorder="1"/>
    <xf numFmtId="0" fontId="3" fillId="0" borderId="0" xfId="0" applyFont="1" applyFill="1" applyBorder="1"/>
    <xf numFmtId="0" fontId="3" fillId="6" borderId="0" xfId="0" applyFont="1" applyFill="1" applyBorder="1"/>
    <xf numFmtId="0" fontId="3" fillId="0" borderId="0" xfId="0" applyFont="1" applyBorder="1"/>
    <xf numFmtId="0" fontId="3" fillId="0" borderId="5" xfId="0" applyFont="1" applyBorder="1"/>
    <xf numFmtId="0" fontId="0" fillId="0" borderId="0" xfId="0" applyBorder="1"/>
    <xf numFmtId="0" fontId="2" fillId="0" borderId="0" xfId="0" applyFont="1" applyBorder="1" applyAlignment="1">
      <alignment horizontal="left"/>
    </xf>
    <xf numFmtId="0" fontId="0" fillId="0" borderId="6" xfId="0" applyBorder="1"/>
    <xf numFmtId="0" fontId="3" fillId="0" borderId="6" xfId="0" applyFont="1" applyBorder="1"/>
    <xf numFmtId="0" fontId="3" fillId="0" borderId="4" xfId="0" applyFont="1" applyBorder="1"/>
    <xf numFmtId="0" fontId="0" fillId="0" borderId="8" xfId="0" applyBorder="1"/>
    <xf numFmtId="0" fontId="2" fillId="0" borderId="8" xfId="0" applyFont="1" applyBorder="1"/>
    <xf numFmtId="0" fontId="0" fillId="0" borderId="7" xfId="0" applyBorder="1"/>
    <xf numFmtId="0" fontId="0" fillId="0" borderId="9" xfId="0" applyBorder="1"/>
    <xf numFmtId="0" fontId="3" fillId="0" borderId="15" xfId="0" applyFont="1" applyFill="1" applyBorder="1"/>
    <xf numFmtId="1" fontId="3" fillId="0" borderId="0" xfId="1" applyNumberFormat="1" applyFont="1"/>
    <xf numFmtId="164" fontId="3" fillId="0" borderId="0" xfId="1" applyNumberFormat="1" applyFont="1" applyFill="1" applyAlignment="1">
      <alignment horizontal="left"/>
    </xf>
    <xf numFmtId="2" fontId="3" fillId="0" borderId="0" xfId="1" applyNumberFormat="1" applyFont="1" applyFill="1" applyAlignment="1">
      <alignment horizontal="left"/>
    </xf>
    <xf numFmtId="1" fontId="3" fillId="0" borderId="0" xfId="1" applyNumberFormat="1" applyFont="1" applyFill="1" applyAlignment="1">
      <alignment horizontal="left"/>
    </xf>
    <xf numFmtId="0" fontId="3" fillId="20" borderId="0" xfId="1" applyFont="1" applyFill="1"/>
    <xf numFmtId="0" fontId="2" fillId="20" borderId="0" xfId="1" applyFont="1" applyFill="1"/>
    <xf numFmtId="0" fontId="3" fillId="8" borderId="0" xfId="1" applyNumberFormat="1" applyFont="1" applyFill="1" applyAlignment="1">
      <alignment horizontal="left"/>
    </xf>
    <xf numFmtId="0" fontId="21" fillId="0" borderId="0" xfId="0" applyFont="1" applyAlignment="1">
      <alignment horizontal="center"/>
    </xf>
    <xf numFmtId="0" fontId="3" fillId="7" borderId="0" xfId="1" applyFont="1" applyFill="1"/>
    <xf numFmtId="164" fontId="3" fillId="7" borderId="0" xfId="1" applyNumberFormat="1" applyFont="1" applyFill="1"/>
    <xf numFmtId="2" fontId="0" fillId="7" borderId="0" xfId="0" applyNumberFormat="1" applyFill="1"/>
    <xf numFmtId="165" fontId="3" fillId="7" borderId="0" xfId="1" applyNumberFormat="1" applyFont="1" applyFill="1"/>
    <xf numFmtId="1" fontId="3" fillId="7" borderId="0" xfId="1" applyNumberFormat="1" applyFont="1" applyFill="1"/>
    <xf numFmtId="0" fontId="3" fillId="8" borderId="0" xfId="1" applyFont="1" applyFill="1"/>
    <xf numFmtId="164" fontId="3" fillId="8" borderId="0" xfId="1" applyNumberFormat="1" applyFont="1" applyFill="1"/>
    <xf numFmtId="2" fontId="0" fillId="8" borderId="0" xfId="0" applyNumberFormat="1" applyFill="1"/>
    <xf numFmtId="165" fontId="3" fillId="8" borderId="0" xfId="1" applyNumberFormat="1" applyFont="1" applyFill="1"/>
    <xf numFmtId="1" fontId="3" fillId="8" borderId="0" xfId="1" applyNumberFormat="1" applyFont="1" applyFill="1"/>
    <xf numFmtId="0" fontId="4" fillId="8" borderId="0" xfId="1" applyFont="1" applyFill="1"/>
    <xf numFmtId="0" fontId="26" fillId="0" borderId="0" xfId="0" applyFont="1"/>
    <xf numFmtId="0" fontId="26" fillId="21" borderId="0" xfId="0" applyFont="1" applyFill="1"/>
    <xf numFmtId="0" fontId="12" fillId="7" borderId="0" xfId="0" applyFont="1" applyFill="1"/>
    <xf numFmtId="0" fontId="7" fillId="20" borderId="0" xfId="0" applyFont="1" applyFill="1"/>
    <xf numFmtId="164" fontId="12" fillId="0" borderId="0" xfId="0" applyNumberFormat="1" applyFont="1"/>
    <xf numFmtId="168" fontId="12" fillId="3" borderId="0" xfId="0" applyNumberFormat="1" applyFont="1" applyFill="1"/>
    <xf numFmtId="168" fontId="12" fillId="0" borderId="0" xfId="0" applyNumberFormat="1" applyFont="1" applyFill="1"/>
    <xf numFmtId="164" fontId="12" fillId="0" borderId="0" xfId="0" applyNumberFormat="1" applyFont="1" applyFill="1"/>
    <xf numFmtId="0" fontId="7" fillId="22" borderId="0" xfId="0" applyFont="1" applyFill="1"/>
    <xf numFmtId="0" fontId="7" fillId="7" borderId="0" xfId="0" applyFont="1" applyFill="1"/>
    <xf numFmtId="0" fontId="3" fillId="23" borderId="0" xfId="1" applyFont="1" applyFill="1" applyAlignment="1">
      <alignment horizontal="center"/>
    </xf>
    <xf numFmtId="0" fontId="3" fillId="23" borderId="0" xfId="1" applyFont="1" applyFill="1" applyAlignment="1">
      <alignment horizontal="left"/>
    </xf>
    <xf numFmtId="0" fontId="3" fillId="23" borderId="0" xfId="1" applyFont="1" applyFill="1"/>
    <xf numFmtId="164" fontId="3" fillId="23" borderId="0" xfId="1" applyNumberFormat="1" applyFont="1" applyFill="1"/>
    <xf numFmtId="0" fontId="3" fillId="11" borderId="0" xfId="1" applyFont="1" applyFill="1" applyAlignment="1">
      <alignment horizontal="center"/>
    </xf>
    <xf numFmtId="0" fontId="3" fillId="11" borderId="0" xfId="1" applyFont="1" applyFill="1" applyAlignment="1">
      <alignment horizontal="left"/>
    </xf>
    <xf numFmtId="0" fontId="3" fillId="11" borderId="0" xfId="1" applyFont="1" applyFill="1"/>
    <xf numFmtId="164" fontId="3" fillId="11" borderId="0" xfId="1" applyNumberFormat="1" applyFont="1" applyFill="1"/>
    <xf numFmtId="0" fontId="2" fillId="0" borderId="0" xfId="1" applyFont="1" applyAlignment="1">
      <alignment horizontal="center"/>
    </xf>
    <xf numFmtId="0" fontId="21" fillId="0" borderId="0" xfId="0" applyFont="1" applyAlignment="1">
      <alignment horizontal="center"/>
    </xf>
    <xf numFmtId="0" fontId="21" fillId="25" borderId="0" xfId="0" applyFont="1" applyFill="1" applyAlignment="1">
      <alignment horizontal="center"/>
    </xf>
    <xf numFmtId="0" fontId="0" fillId="25" borderId="0" xfId="0" applyFill="1"/>
    <xf numFmtId="0" fontId="21" fillId="6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2" fillId="20" borderId="0" xfId="1" applyFont="1" applyFill="1" applyAlignment="1">
      <alignment horizontal="center"/>
    </xf>
    <xf numFmtId="0" fontId="30" fillId="0" borderId="0" xfId="0" applyFont="1" applyFill="1" applyAlignment="1">
      <alignment horizontal="center" vertical="center" wrapText="1"/>
    </xf>
    <xf numFmtId="0" fontId="25" fillId="0" borderId="26" xfId="1" applyFont="1" applyFill="1" applyBorder="1" applyAlignment="1">
      <alignment horizontal="center"/>
    </xf>
    <xf numFmtId="0" fontId="12" fillId="26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vertical="center"/>
    </xf>
    <xf numFmtId="0" fontId="12" fillId="0" borderId="0" xfId="0" applyFont="1" applyFill="1" applyAlignment="1">
      <alignment vertical="center"/>
    </xf>
    <xf numFmtId="171" fontId="12" fillId="0" borderId="0" xfId="0" applyNumberFormat="1" applyFont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170" fontId="3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vertical="center"/>
    </xf>
    <xf numFmtId="164" fontId="12" fillId="0" borderId="0" xfId="0" applyNumberFormat="1" applyFont="1" applyAlignment="1">
      <alignment vertical="center"/>
    </xf>
    <xf numFmtId="1" fontId="12" fillId="0" borderId="0" xfId="0" applyNumberFormat="1" applyFont="1" applyAlignment="1">
      <alignment vertical="center"/>
    </xf>
    <xf numFmtId="0" fontId="0" fillId="0" borderId="0" xfId="0" applyFill="1" applyAlignment="1">
      <alignment vertical="center"/>
    </xf>
    <xf numFmtId="0" fontId="21" fillId="0" borderId="0" xfId="0" applyFont="1" applyFill="1" applyAlignment="1">
      <alignment vertical="center"/>
    </xf>
    <xf numFmtId="9" fontId="32" fillId="0" borderId="0" xfId="0" applyNumberFormat="1" applyFont="1" applyFill="1" applyAlignment="1">
      <alignment vertical="center"/>
    </xf>
    <xf numFmtId="0" fontId="0" fillId="0" borderId="0" xfId="0" applyFill="1" applyAlignment="1">
      <alignment horizontal="right" vertical="center"/>
    </xf>
    <xf numFmtId="2" fontId="0" fillId="0" borderId="0" xfId="0" applyNumberFormat="1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7" fillId="0" borderId="27" xfId="0" applyFont="1" applyFill="1" applyBorder="1" applyAlignment="1">
      <alignment horizontal="center" vertical="center"/>
    </xf>
    <xf numFmtId="0" fontId="20" fillId="0" borderId="27" xfId="0" applyFont="1" applyFill="1" applyBorder="1" applyAlignment="1">
      <alignment horizontal="center" vertical="center"/>
    </xf>
    <xf numFmtId="0" fontId="20" fillId="0" borderId="22" xfId="0" applyFont="1" applyFill="1" applyBorder="1" applyAlignment="1">
      <alignment horizontal="center" vertical="center"/>
    </xf>
    <xf numFmtId="0" fontId="20" fillId="0" borderId="23" xfId="0" applyFont="1" applyFill="1" applyBorder="1" applyAlignment="1">
      <alignment horizontal="center" vertical="center"/>
    </xf>
    <xf numFmtId="0" fontId="20" fillId="0" borderId="20" xfId="0" applyFont="1" applyFill="1" applyBorder="1" applyAlignment="1">
      <alignment horizontal="center" vertical="center"/>
    </xf>
    <xf numFmtId="0" fontId="20" fillId="0" borderId="24" xfId="0" applyFont="1" applyFill="1" applyBorder="1" applyAlignment="1">
      <alignment horizontal="center" vertical="center"/>
    </xf>
    <xf numFmtId="0" fontId="20" fillId="0" borderId="28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7" fillId="0" borderId="22" xfId="0" applyFont="1" applyFill="1" applyBorder="1" applyAlignment="1">
      <alignment horizontal="center" vertical="center"/>
    </xf>
    <xf numFmtId="164" fontId="12" fillId="0" borderId="23" xfId="0" applyNumberFormat="1" applyFont="1" applyFill="1" applyBorder="1" applyAlignment="1">
      <alignment horizontal="center" vertical="center"/>
    </xf>
    <xf numFmtId="165" fontId="12" fillId="0" borderId="22" xfId="0" applyNumberFormat="1" applyFont="1" applyFill="1" applyBorder="1" applyAlignment="1">
      <alignment horizontal="center" vertical="center"/>
    </xf>
    <xf numFmtId="1" fontId="12" fillId="0" borderId="23" xfId="0" applyNumberFormat="1" applyFont="1" applyFill="1" applyBorder="1" applyAlignment="1">
      <alignment horizontal="center" vertical="center"/>
    </xf>
    <xf numFmtId="2" fontId="12" fillId="0" borderId="27" xfId="0" applyNumberFormat="1" applyFont="1" applyFill="1" applyBorder="1" applyAlignment="1">
      <alignment horizontal="center" vertical="center"/>
    </xf>
    <xf numFmtId="165" fontId="12" fillId="0" borderId="27" xfId="0" applyNumberFormat="1" applyFont="1" applyFill="1" applyBorder="1" applyAlignment="1">
      <alignment horizontal="center" vertical="center"/>
    </xf>
    <xf numFmtId="164" fontId="12" fillId="0" borderId="22" xfId="0" applyNumberFormat="1" applyFont="1" applyFill="1" applyBorder="1" applyAlignment="1">
      <alignment horizontal="center" vertical="center"/>
    </xf>
    <xf numFmtId="0" fontId="12" fillId="0" borderId="30" xfId="0" applyFont="1" applyFill="1" applyBorder="1" applyAlignment="1">
      <alignment horizontal="center" vertical="center"/>
    </xf>
    <xf numFmtId="0" fontId="12" fillId="0" borderId="23" xfId="0" applyFont="1" applyFill="1" applyBorder="1" applyAlignment="1">
      <alignment horizontal="center" vertical="center"/>
    </xf>
    <xf numFmtId="0" fontId="12" fillId="0" borderId="27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/>
    </xf>
    <xf numFmtId="164" fontId="12" fillId="0" borderId="24" xfId="0" applyNumberFormat="1" applyFont="1" applyFill="1" applyBorder="1" applyAlignment="1">
      <alignment horizontal="center" vertical="center"/>
    </xf>
    <xf numFmtId="165" fontId="12" fillId="0" borderId="20" xfId="0" applyNumberFormat="1" applyFont="1" applyFill="1" applyBorder="1" applyAlignment="1">
      <alignment horizontal="center" vertical="center"/>
    </xf>
    <xf numFmtId="1" fontId="12" fillId="0" borderId="24" xfId="0" applyNumberFormat="1" applyFont="1" applyFill="1" applyBorder="1" applyAlignment="1">
      <alignment horizontal="center" vertical="center"/>
    </xf>
    <xf numFmtId="2" fontId="12" fillId="0" borderId="28" xfId="0" applyNumberFormat="1" applyFont="1" applyFill="1" applyBorder="1" applyAlignment="1">
      <alignment horizontal="center" vertical="center"/>
    </xf>
    <xf numFmtId="165" fontId="12" fillId="0" borderId="28" xfId="0" applyNumberFormat="1" applyFont="1" applyFill="1" applyBorder="1" applyAlignment="1">
      <alignment horizontal="center" vertical="center"/>
    </xf>
    <xf numFmtId="164" fontId="12" fillId="0" borderId="20" xfId="0" applyNumberFormat="1" applyFont="1" applyFill="1" applyBorder="1" applyAlignment="1">
      <alignment horizontal="center" vertical="center"/>
    </xf>
    <xf numFmtId="164" fontId="12" fillId="0" borderId="0" xfId="0" applyNumberFormat="1" applyFont="1" applyFill="1" applyBorder="1" applyAlignment="1">
      <alignment horizontal="center" vertical="center"/>
    </xf>
    <xf numFmtId="0" fontId="12" fillId="0" borderId="24" xfId="0" applyFont="1" applyFill="1" applyBorder="1" applyAlignment="1">
      <alignment horizontal="center" vertical="center"/>
    </xf>
    <xf numFmtId="0" fontId="12" fillId="0" borderId="28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164" fontId="12" fillId="0" borderId="28" xfId="0" applyNumberFormat="1" applyFont="1" applyFill="1" applyBorder="1" applyAlignment="1">
      <alignment horizontal="center" vertical="center"/>
    </xf>
    <xf numFmtId="0" fontId="7" fillId="0" borderId="25" xfId="0" applyFont="1" applyFill="1" applyBorder="1" applyAlignment="1">
      <alignment horizontal="center" vertical="center"/>
    </xf>
    <xf numFmtId="164" fontId="12" fillId="0" borderId="26" xfId="0" applyNumberFormat="1" applyFont="1" applyFill="1" applyBorder="1" applyAlignment="1">
      <alignment horizontal="center" vertical="center"/>
    </xf>
    <xf numFmtId="165" fontId="12" fillId="0" borderId="25" xfId="0" applyNumberFormat="1" applyFont="1" applyFill="1" applyBorder="1" applyAlignment="1">
      <alignment horizontal="center" vertical="center"/>
    </xf>
    <xf numFmtId="1" fontId="12" fillId="0" borderId="26" xfId="0" applyNumberFormat="1" applyFont="1" applyFill="1" applyBorder="1" applyAlignment="1">
      <alignment horizontal="center" vertical="center"/>
    </xf>
    <xf numFmtId="2" fontId="12" fillId="0" borderId="29" xfId="0" applyNumberFormat="1" applyFont="1" applyFill="1" applyBorder="1" applyAlignment="1">
      <alignment horizontal="center" vertical="center"/>
    </xf>
    <xf numFmtId="165" fontId="12" fillId="0" borderId="29" xfId="0" applyNumberFormat="1" applyFont="1" applyFill="1" applyBorder="1" applyAlignment="1">
      <alignment horizontal="center" vertical="center"/>
    </xf>
    <xf numFmtId="164" fontId="12" fillId="0" borderId="25" xfId="0" applyNumberFormat="1" applyFont="1" applyFill="1" applyBorder="1" applyAlignment="1">
      <alignment horizontal="center" vertical="center"/>
    </xf>
    <xf numFmtId="164" fontId="12" fillId="0" borderId="21" xfId="0" applyNumberFormat="1" applyFont="1" applyFill="1" applyBorder="1" applyAlignment="1">
      <alignment horizontal="center" vertical="center"/>
    </xf>
    <xf numFmtId="164" fontId="12" fillId="0" borderId="29" xfId="0" applyNumberFormat="1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right" vertical="center"/>
    </xf>
    <xf numFmtId="0" fontId="12" fillId="0" borderId="18" xfId="0" applyFont="1" applyFill="1" applyBorder="1" applyAlignment="1">
      <alignment vertical="center"/>
    </xf>
    <xf numFmtId="165" fontId="12" fillId="0" borderId="17" xfId="0" applyNumberFormat="1" applyFont="1" applyFill="1" applyBorder="1" applyAlignment="1">
      <alignment horizontal="center" vertical="center"/>
    </xf>
    <xf numFmtId="1" fontId="12" fillId="0" borderId="19" xfId="0" applyNumberFormat="1" applyFont="1" applyFill="1" applyBorder="1" applyAlignment="1">
      <alignment horizontal="center" vertical="center"/>
    </xf>
    <xf numFmtId="2" fontId="12" fillId="0" borderId="17" xfId="0" applyNumberFormat="1" applyFont="1" applyFill="1" applyBorder="1" applyAlignment="1">
      <alignment horizontal="center" vertical="center"/>
    </xf>
    <xf numFmtId="165" fontId="12" fillId="0" borderId="19" xfId="0" applyNumberFormat="1" applyFont="1" applyFill="1" applyBorder="1" applyAlignment="1">
      <alignment horizontal="center" vertical="center"/>
    </xf>
    <xf numFmtId="164" fontId="12" fillId="0" borderId="16" xfId="0" applyNumberFormat="1" applyFont="1" applyFill="1" applyBorder="1" applyAlignment="1">
      <alignment horizontal="center" vertical="center"/>
    </xf>
    <xf numFmtId="0" fontId="12" fillId="0" borderId="19" xfId="0" applyFont="1" applyFill="1" applyBorder="1" applyAlignment="1">
      <alignment vertical="center"/>
    </xf>
    <xf numFmtId="0" fontId="12" fillId="0" borderId="20" xfId="0" applyFont="1" applyBorder="1" applyAlignment="1">
      <alignment vertical="center"/>
    </xf>
    <xf numFmtId="0" fontId="12" fillId="0" borderId="21" xfId="0" applyFont="1" applyBorder="1" applyAlignment="1">
      <alignment vertical="center"/>
    </xf>
    <xf numFmtId="0" fontId="3" fillId="0" borderId="16" xfId="1" applyFont="1" applyBorder="1"/>
    <xf numFmtId="0" fontId="12" fillId="0" borderId="24" xfId="0" applyFont="1" applyBorder="1" applyAlignment="1">
      <alignment horizontal="center" vertical="center"/>
    </xf>
    <xf numFmtId="164" fontId="12" fillId="0" borderId="24" xfId="0" applyNumberFormat="1" applyFont="1" applyBorder="1" applyAlignment="1">
      <alignment horizontal="center" vertical="center"/>
    </xf>
    <xf numFmtId="0" fontId="12" fillId="0" borderId="30" xfId="0" applyFont="1" applyBorder="1" applyAlignment="1">
      <alignment vertical="center"/>
    </xf>
    <xf numFmtId="0" fontId="7" fillId="0" borderId="17" xfId="0" applyFont="1" applyFill="1" applyBorder="1" applyAlignment="1">
      <alignment horizontal="center" vertical="center"/>
    </xf>
    <xf numFmtId="0" fontId="12" fillId="0" borderId="18" xfId="0" applyFont="1" applyBorder="1" applyAlignment="1">
      <alignment vertical="center"/>
    </xf>
    <xf numFmtId="0" fontId="12" fillId="0" borderId="17" xfId="0" applyFont="1" applyFill="1" applyBorder="1" applyAlignment="1">
      <alignment vertical="center" shrinkToFit="1"/>
    </xf>
    <xf numFmtId="0" fontId="12" fillId="0" borderId="26" xfId="0" applyFont="1" applyFill="1" applyBorder="1" applyAlignment="1">
      <alignment vertical="center"/>
    </xf>
    <xf numFmtId="0" fontId="0" fillId="0" borderId="18" xfId="0" applyBorder="1"/>
    <xf numFmtId="47" fontId="12" fillId="0" borderId="0" xfId="0" applyNumberFormat="1" applyFont="1" applyAlignment="1">
      <alignment vertical="center"/>
    </xf>
    <xf numFmtId="0" fontId="29" fillId="0" borderId="2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29" fillId="0" borderId="24" xfId="0" applyFont="1" applyFill="1" applyBorder="1" applyAlignment="1">
      <alignment horizontal="center" vertical="center"/>
    </xf>
    <xf numFmtId="0" fontId="12" fillId="0" borderId="19" xfId="0" applyFont="1" applyFill="1" applyBorder="1" applyAlignment="1">
      <alignment horizontal="center" vertical="center"/>
    </xf>
    <xf numFmtId="0" fontId="7" fillId="0" borderId="22" xfId="0" applyFont="1" applyFill="1" applyBorder="1" applyAlignment="1">
      <alignment horizontal="center" vertical="center"/>
    </xf>
    <xf numFmtId="0" fontId="7" fillId="0" borderId="25" xfId="0" applyFont="1" applyFill="1" applyBorder="1" applyAlignment="1">
      <alignment horizontal="center" vertical="center"/>
    </xf>
    <xf numFmtId="0" fontId="12" fillId="0" borderId="34" xfId="0" applyFont="1" applyBorder="1" applyAlignment="1">
      <alignment horizontal="center"/>
    </xf>
    <xf numFmtId="2" fontId="12" fillId="0" borderId="35" xfId="0" applyNumberFormat="1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164" fontId="12" fillId="0" borderId="37" xfId="0" applyNumberFormat="1" applyFont="1" applyBorder="1" applyAlignment="1">
      <alignment horizontal="center"/>
    </xf>
    <xf numFmtId="2" fontId="12" fillId="0" borderId="37" xfId="0" applyNumberFormat="1" applyFont="1" applyBorder="1" applyAlignment="1">
      <alignment horizontal="center"/>
    </xf>
    <xf numFmtId="47" fontId="12" fillId="0" borderId="37" xfId="0" applyNumberFormat="1" applyFont="1" applyBorder="1" applyAlignment="1">
      <alignment horizontal="center"/>
    </xf>
    <xf numFmtId="165" fontId="12" fillId="0" borderId="37" xfId="0" applyNumberFormat="1" applyFont="1" applyBorder="1" applyAlignment="1">
      <alignment horizontal="center"/>
    </xf>
    <xf numFmtId="1" fontId="12" fillId="0" borderId="37" xfId="0" applyNumberFormat="1" applyFont="1" applyBorder="1" applyAlignment="1">
      <alignment horizontal="center"/>
    </xf>
    <xf numFmtId="2" fontId="12" fillId="0" borderId="38" xfId="0" applyNumberFormat="1" applyFont="1" applyBorder="1" applyAlignment="1">
      <alignment horizontal="center"/>
    </xf>
    <xf numFmtId="0" fontId="7" fillId="12" borderId="23" xfId="0" applyFont="1" applyFill="1" applyBorder="1" applyAlignment="1">
      <alignment horizontal="center" wrapText="1"/>
    </xf>
    <xf numFmtId="0" fontId="12" fillId="12" borderId="24" xfId="0" applyFont="1" applyFill="1" applyBorder="1" applyAlignment="1">
      <alignment vertical="center"/>
    </xf>
    <xf numFmtId="0" fontId="12" fillId="0" borderId="31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 wrapText="1"/>
    </xf>
    <xf numFmtId="0" fontId="12" fillId="0" borderId="32" xfId="0" applyFont="1" applyBorder="1" applyAlignment="1">
      <alignment horizontal="center"/>
    </xf>
    <xf numFmtId="0" fontId="12" fillId="0" borderId="33" xfId="0" applyFont="1" applyBorder="1" applyAlignment="1">
      <alignment horizontal="center"/>
    </xf>
    <xf numFmtId="0" fontId="12" fillId="0" borderId="31" xfId="0" applyFont="1" applyBorder="1" applyAlignment="1">
      <alignment horizontal="center"/>
    </xf>
    <xf numFmtId="164" fontId="12" fillId="0" borderId="32" xfId="0" applyNumberFormat="1" applyFont="1" applyBorder="1" applyAlignment="1">
      <alignment horizontal="center"/>
    </xf>
    <xf numFmtId="2" fontId="12" fillId="0" borderId="32" xfId="0" applyNumberFormat="1" applyFont="1" applyBorder="1" applyAlignment="1">
      <alignment horizontal="center"/>
    </xf>
    <xf numFmtId="165" fontId="12" fillId="0" borderId="32" xfId="0" applyNumberFormat="1" applyFont="1" applyBorder="1" applyAlignment="1">
      <alignment horizontal="center"/>
    </xf>
    <xf numFmtId="1" fontId="12" fillId="0" borderId="32" xfId="0" applyNumberFormat="1" applyFont="1" applyBorder="1" applyAlignment="1">
      <alignment horizontal="center"/>
    </xf>
    <xf numFmtId="2" fontId="12" fillId="0" borderId="33" xfId="0" applyNumberFormat="1" applyFont="1" applyBorder="1" applyAlignment="1">
      <alignment horizontal="center"/>
    </xf>
    <xf numFmtId="0" fontId="7" fillId="0" borderId="29" xfId="0" applyFont="1" applyBorder="1" applyAlignment="1">
      <alignment horizontal="center" vertical="center"/>
    </xf>
    <xf numFmtId="164" fontId="7" fillId="0" borderId="29" xfId="0" applyNumberFormat="1" applyFont="1" applyBorder="1" applyAlignment="1">
      <alignment horizontal="center" vertical="center"/>
    </xf>
    <xf numFmtId="2" fontId="7" fillId="0" borderId="29" xfId="0" applyNumberFormat="1" applyFont="1" applyBorder="1" applyAlignment="1">
      <alignment horizontal="center" vertical="center"/>
    </xf>
    <xf numFmtId="165" fontId="7" fillId="0" borderId="29" xfId="0" applyNumberFormat="1" applyFont="1" applyBorder="1" applyAlignment="1">
      <alignment horizontal="center" vertical="center"/>
    </xf>
    <xf numFmtId="1" fontId="7" fillId="0" borderId="29" xfId="0" applyNumberFormat="1" applyFont="1" applyBorder="1" applyAlignment="1">
      <alignment horizontal="center" vertical="center"/>
    </xf>
    <xf numFmtId="0" fontId="7" fillId="0" borderId="22" xfId="0" applyFont="1" applyFill="1" applyBorder="1" applyAlignment="1">
      <alignment horizontal="center" vertical="center"/>
    </xf>
    <xf numFmtId="0" fontId="7" fillId="0" borderId="25" xfId="0" applyFont="1" applyFill="1" applyBorder="1" applyAlignment="1">
      <alignment horizontal="center" vertical="center"/>
    </xf>
    <xf numFmtId="0" fontId="29" fillId="26" borderId="0" xfId="0" applyFont="1" applyFill="1" applyBorder="1" applyAlignment="1">
      <alignment horizontal="center" vertical="center"/>
    </xf>
    <xf numFmtId="0" fontId="20" fillId="0" borderId="17" xfId="0" applyFont="1" applyFill="1" applyBorder="1" applyAlignment="1">
      <alignment horizontal="center" vertical="center"/>
    </xf>
    <xf numFmtId="0" fontId="20" fillId="0" borderId="19" xfId="0" applyFont="1" applyFill="1" applyBorder="1" applyAlignment="1">
      <alignment horizontal="center" vertical="center"/>
    </xf>
    <xf numFmtId="0" fontId="12" fillId="0" borderId="19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165" fontId="7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horizontal="center" vertical="center"/>
    </xf>
    <xf numFmtId="164" fontId="12" fillId="27" borderId="19" xfId="0" applyNumberFormat="1" applyFont="1" applyFill="1" applyBorder="1" applyAlignment="1">
      <alignment horizontal="center" vertical="center"/>
    </xf>
    <xf numFmtId="0" fontId="7" fillId="27" borderId="17" xfId="0" applyFont="1" applyFill="1" applyBorder="1" applyAlignment="1">
      <alignment horizontal="right" vertical="center"/>
    </xf>
    <xf numFmtId="0" fontId="7" fillId="27" borderId="18" xfId="0" applyFont="1" applyFill="1" applyBorder="1" applyAlignment="1">
      <alignment horizontal="right" vertical="center"/>
    </xf>
    <xf numFmtId="168" fontId="12" fillId="27" borderId="19" xfId="0" applyNumberFormat="1" applyFont="1" applyFill="1" applyBorder="1" applyAlignment="1">
      <alignment horizontal="center" vertical="center"/>
    </xf>
    <xf numFmtId="0" fontId="7" fillId="28" borderId="17" xfId="0" applyFont="1" applyFill="1" applyBorder="1" applyAlignment="1">
      <alignment horizontal="right" vertical="center"/>
    </xf>
    <xf numFmtId="164" fontId="12" fillId="28" borderId="19" xfId="0" applyNumberFormat="1" applyFont="1" applyFill="1" applyBorder="1" applyAlignment="1">
      <alignment horizontal="center" vertical="center"/>
    </xf>
    <xf numFmtId="0" fontId="7" fillId="28" borderId="18" xfId="0" applyFont="1" applyFill="1" applyBorder="1" applyAlignment="1">
      <alignment horizontal="right" vertical="center"/>
    </xf>
    <xf numFmtId="9" fontId="12" fillId="28" borderId="19" xfId="0" applyNumberFormat="1" applyFont="1" applyFill="1" applyBorder="1" applyAlignment="1">
      <alignment horizontal="center" vertical="center"/>
    </xf>
    <xf numFmtId="0" fontId="7" fillId="0" borderId="28" xfId="0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164" fontId="12" fillId="0" borderId="28" xfId="0" applyNumberFormat="1" applyFont="1" applyBorder="1" applyAlignment="1">
      <alignment horizontal="center" vertical="center"/>
    </xf>
    <xf numFmtId="0" fontId="12" fillId="0" borderId="16" xfId="0" applyFont="1" applyFill="1" applyBorder="1" applyAlignment="1">
      <alignment vertical="center"/>
    </xf>
    <xf numFmtId="164" fontId="12" fillId="0" borderId="29" xfId="0" applyNumberFormat="1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17" xfId="0" applyFont="1" applyFill="1" applyBorder="1" applyAlignment="1">
      <alignment vertical="center"/>
    </xf>
    <xf numFmtId="0" fontId="12" fillId="0" borderId="22" xfId="0" applyFont="1" applyFill="1" applyBorder="1" applyAlignment="1">
      <alignment vertical="center"/>
    </xf>
    <xf numFmtId="0" fontId="12" fillId="0" borderId="26" xfId="0" applyFont="1" applyBorder="1" applyAlignment="1">
      <alignment vertical="center"/>
    </xf>
    <xf numFmtId="0" fontId="20" fillId="0" borderId="25" xfId="0" applyFont="1" applyFill="1" applyBorder="1" applyAlignment="1">
      <alignment horizontal="center" vertical="center"/>
    </xf>
    <xf numFmtId="0" fontId="20" fillId="0" borderId="26" xfId="0" applyFont="1" applyFill="1" applyBorder="1" applyAlignment="1">
      <alignment horizontal="center" vertical="center"/>
    </xf>
    <xf numFmtId="0" fontId="20" fillId="0" borderId="29" xfId="0" applyFont="1" applyFill="1" applyBorder="1" applyAlignment="1">
      <alignment horizontal="center" vertical="center"/>
    </xf>
    <xf numFmtId="0" fontId="20" fillId="0" borderId="21" xfId="0" applyFont="1" applyFill="1" applyBorder="1" applyAlignment="1">
      <alignment horizontal="center" vertical="center"/>
    </xf>
    <xf numFmtId="47" fontId="0" fillId="0" borderId="0" xfId="0" applyNumberFormat="1"/>
    <xf numFmtId="164" fontId="0" fillId="0" borderId="0" xfId="0" applyNumberFormat="1"/>
    <xf numFmtId="0" fontId="1" fillId="0" borderId="0" xfId="0" applyFont="1"/>
    <xf numFmtId="47" fontId="1" fillId="0" borderId="0" xfId="0" applyNumberFormat="1" applyFont="1"/>
    <xf numFmtId="2" fontId="1" fillId="0" borderId="0" xfId="0" applyNumberFormat="1" applyFont="1"/>
    <xf numFmtId="14" fontId="3" fillId="15" borderId="0" xfId="1" applyNumberFormat="1" applyFont="1" applyFill="1" applyAlignment="1">
      <alignment horizontal="center"/>
    </xf>
    <xf numFmtId="0" fontId="3" fillId="0" borderId="21" xfId="1" applyFont="1" applyBorder="1" applyAlignment="1">
      <alignment horizontal="center"/>
    </xf>
    <xf numFmtId="14" fontId="3" fillId="0" borderId="21" xfId="1" applyNumberFormat="1" applyFont="1" applyBorder="1" applyAlignment="1">
      <alignment horizontal="center"/>
    </xf>
    <xf numFmtId="0" fontId="3" fillId="0" borderId="0" xfId="1" applyFont="1" applyFill="1" applyAlignment="1">
      <alignment horizontal="center"/>
    </xf>
    <xf numFmtId="0" fontId="3" fillId="12" borderId="0" xfId="1" applyFont="1" applyFill="1" applyAlignment="1">
      <alignment horizontal="left"/>
    </xf>
    <xf numFmtId="0" fontId="12" fillId="15" borderId="0" xfId="0" applyFont="1" applyFill="1" applyAlignment="1">
      <alignment horizontal="left"/>
    </xf>
    <xf numFmtId="0" fontId="2" fillId="2" borderId="0" xfId="1" applyFont="1" applyFill="1" applyAlignment="1">
      <alignment horizontal="center"/>
    </xf>
    <xf numFmtId="0" fontId="2" fillId="0" borderId="25" xfId="1" applyFont="1" applyFill="1" applyBorder="1" applyAlignment="1">
      <alignment horizontal="center"/>
    </xf>
    <xf numFmtId="0" fontId="2" fillId="0" borderId="26" xfId="1" applyFont="1" applyFill="1" applyBorder="1" applyAlignment="1">
      <alignment horizontal="center"/>
    </xf>
    <xf numFmtId="0" fontId="2" fillId="0" borderId="20" xfId="1" applyFont="1" applyFill="1" applyBorder="1" applyAlignment="1">
      <alignment horizontal="center"/>
    </xf>
    <xf numFmtId="0" fontId="2" fillId="0" borderId="24" xfId="1" applyFont="1" applyFill="1" applyBorder="1" applyAlignment="1">
      <alignment horizontal="center"/>
    </xf>
    <xf numFmtId="0" fontId="2" fillId="7" borderId="20" xfId="1" applyFont="1" applyFill="1" applyBorder="1" applyAlignment="1">
      <alignment horizontal="center"/>
    </xf>
    <xf numFmtId="0" fontId="2" fillId="7" borderId="24" xfId="1" applyFont="1" applyFill="1" applyBorder="1" applyAlignment="1">
      <alignment horizontal="center"/>
    </xf>
    <xf numFmtId="0" fontId="2" fillId="20" borderId="0" xfId="1" applyFont="1" applyFill="1" applyAlignment="1">
      <alignment horizontal="center"/>
    </xf>
    <xf numFmtId="0" fontId="3" fillId="0" borderId="17" xfId="1" applyFont="1" applyBorder="1" applyAlignment="1">
      <alignment horizontal="center"/>
    </xf>
    <xf numFmtId="0" fontId="3" fillId="0" borderId="19" xfId="1" applyFont="1" applyBorder="1" applyAlignment="1">
      <alignment horizontal="center"/>
    </xf>
    <xf numFmtId="0" fontId="2" fillId="7" borderId="22" xfId="1" applyFont="1" applyFill="1" applyBorder="1" applyAlignment="1">
      <alignment horizontal="center"/>
    </xf>
    <xf numFmtId="0" fontId="2" fillId="7" borderId="23" xfId="1" applyFont="1" applyFill="1" applyBorder="1" applyAlignment="1">
      <alignment horizontal="center"/>
    </xf>
    <xf numFmtId="0" fontId="2" fillId="24" borderId="0" xfId="1" applyFont="1" applyFill="1" applyAlignment="1">
      <alignment horizontal="center"/>
    </xf>
    <xf numFmtId="169" fontId="10" fillId="15" borderId="0" xfId="0" applyNumberFormat="1" applyFont="1" applyFill="1" applyAlignment="1">
      <alignment horizontal="center"/>
    </xf>
    <xf numFmtId="0" fontId="2" fillId="5" borderId="0" xfId="1" applyFont="1" applyFill="1" applyAlignment="1">
      <alignment horizontal="left" vertical="center"/>
    </xf>
    <xf numFmtId="0" fontId="15" fillId="0" borderId="0" xfId="0" applyFont="1" applyAlignment="1">
      <alignment horizontal="center"/>
    </xf>
    <xf numFmtId="0" fontId="17" fillId="18" borderId="0" xfId="1" applyFont="1" applyFill="1" applyAlignment="1">
      <alignment horizontal="center" vertical="center"/>
    </xf>
    <xf numFmtId="0" fontId="18" fillId="8" borderId="0" xfId="0" applyFont="1" applyFill="1" applyAlignment="1">
      <alignment horizontal="center" vertical="center"/>
    </xf>
    <xf numFmtId="0" fontId="9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3" fillId="8" borderId="0" xfId="1" applyFont="1" applyFill="1" applyAlignment="1">
      <alignment horizontal="center" vertical="center"/>
    </xf>
    <xf numFmtId="0" fontId="33" fillId="26" borderId="0" xfId="0" applyFont="1" applyFill="1" applyAlignment="1">
      <alignment horizontal="center" vertical="center" wrapText="1"/>
    </xf>
    <xf numFmtId="0" fontId="33" fillId="26" borderId="0" xfId="0" applyFont="1" applyFill="1" applyAlignment="1">
      <alignment horizontal="center" vertical="center" shrinkToFit="1"/>
    </xf>
    <xf numFmtId="169" fontId="31" fillId="0" borderId="17" xfId="0" applyNumberFormat="1" applyFont="1" applyFill="1" applyBorder="1" applyAlignment="1">
      <alignment horizontal="center" vertical="center"/>
    </xf>
    <xf numFmtId="169" fontId="31" fillId="0" borderId="18" xfId="0" applyNumberFormat="1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horizontal="left" vertical="center"/>
    </xf>
    <xf numFmtId="0" fontId="12" fillId="12" borderId="19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0" borderId="19" xfId="0" applyFont="1" applyFill="1" applyBorder="1" applyAlignment="1">
      <alignment horizontal="left" vertical="center"/>
    </xf>
    <xf numFmtId="0" fontId="29" fillId="26" borderId="0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0" fontId="12" fillId="0" borderId="19" xfId="0" applyFont="1" applyFill="1" applyBorder="1" applyAlignment="1">
      <alignment horizontal="center" vertical="center"/>
    </xf>
    <xf numFmtId="0" fontId="21" fillId="12" borderId="17" xfId="0" applyFont="1" applyFill="1" applyBorder="1" applyAlignment="1">
      <alignment horizontal="center" vertical="center"/>
    </xf>
    <xf numFmtId="0" fontId="21" fillId="12" borderId="18" xfId="0" applyFont="1" applyFill="1" applyBorder="1" applyAlignment="1">
      <alignment horizontal="center" vertical="center"/>
    </xf>
    <xf numFmtId="0" fontId="21" fillId="12" borderId="19" xfId="0" applyFont="1" applyFill="1" applyBorder="1" applyAlignment="1">
      <alignment horizontal="center" vertical="center"/>
    </xf>
    <xf numFmtId="0" fontId="34" fillId="8" borderId="30" xfId="0" applyFont="1" applyFill="1" applyBorder="1" applyAlignment="1">
      <alignment horizontal="center" vertical="center"/>
    </xf>
    <xf numFmtId="0" fontId="34" fillId="8" borderId="23" xfId="0" applyFont="1" applyFill="1" applyBorder="1" applyAlignment="1">
      <alignment horizontal="center" vertical="center"/>
    </xf>
    <xf numFmtId="0" fontId="34" fillId="8" borderId="21" xfId="0" applyFont="1" applyFill="1" applyBorder="1" applyAlignment="1">
      <alignment horizontal="center" vertical="center"/>
    </xf>
    <xf numFmtId="0" fontId="34" fillId="8" borderId="26" xfId="0" applyFont="1" applyFill="1" applyBorder="1" applyAlignment="1">
      <alignment horizontal="center" vertical="center"/>
    </xf>
    <xf numFmtId="164" fontId="34" fillId="8" borderId="30" xfId="0" applyNumberFormat="1" applyFont="1" applyFill="1" applyBorder="1" applyAlignment="1">
      <alignment horizontal="center" vertical="center"/>
    </xf>
    <xf numFmtId="164" fontId="34" fillId="8" borderId="23" xfId="0" applyNumberFormat="1" applyFont="1" applyFill="1" applyBorder="1" applyAlignment="1">
      <alignment horizontal="center" vertical="center"/>
    </xf>
    <xf numFmtId="164" fontId="34" fillId="8" borderId="21" xfId="0" applyNumberFormat="1" applyFont="1" applyFill="1" applyBorder="1" applyAlignment="1">
      <alignment horizontal="center" vertical="center"/>
    </xf>
    <xf numFmtId="164" fontId="34" fillId="8" borderId="26" xfId="0" applyNumberFormat="1" applyFont="1" applyFill="1" applyBorder="1" applyAlignment="1">
      <alignment horizontal="center" vertical="center"/>
    </xf>
    <xf numFmtId="0" fontId="7" fillId="12" borderId="22" xfId="0" applyFont="1" applyFill="1" applyBorder="1" applyAlignment="1">
      <alignment horizontal="center" vertical="center"/>
    </xf>
    <xf numFmtId="0" fontId="7" fillId="12" borderId="30" xfId="0" applyFont="1" applyFill="1" applyBorder="1" applyAlignment="1">
      <alignment horizontal="center" vertical="center"/>
    </xf>
    <xf numFmtId="0" fontId="7" fillId="12" borderId="25" xfId="0" applyFont="1" applyFill="1" applyBorder="1" applyAlignment="1">
      <alignment horizontal="center" vertical="center"/>
    </xf>
    <xf numFmtId="0" fontId="7" fillId="12" borderId="21" xfId="0" applyFont="1" applyFill="1" applyBorder="1" applyAlignment="1">
      <alignment horizontal="center" vertical="center"/>
    </xf>
    <xf numFmtId="0" fontId="7" fillId="12" borderId="27" xfId="0" applyFont="1" applyFill="1" applyBorder="1" applyAlignment="1">
      <alignment horizontal="center" vertical="center" wrapText="1"/>
    </xf>
    <xf numFmtId="0" fontId="7" fillId="12" borderId="28" xfId="0" applyFont="1" applyFill="1" applyBorder="1" applyAlignment="1">
      <alignment horizontal="center" vertical="center" wrapText="1"/>
    </xf>
    <xf numFmtId="0" fontId="7" fillId="12" borderId="23" xfId="0" applyFont="1" applyFill="1" applyBorder="1" applyAlignment="1">
      <alignment horizontal="center" vertical="center" wrapText="1"/>
    </xf>
    <xf numFmtId="0" fontId="7" fillId="12" borderId="24" xfId="0" applyFont="1" applyFill="1" applyBorder="1" applyAlignment="1">
      <alignment horizontal="center" vertical="center" wrapText="1"/>
    </xf>
    <xf numFmtId="0" fontId="7" fillId="12" borderId="23" xfId="0" applyFont="1" applyFill="1" applyBorder="1" applyAlignment="1">
      <alignment horizontal="center" wrapText="1"/>
    </xf>
    <xf numFmtId="0" fontId="7" fillId="12" borderId="24" xfId="0" applyFont="1" applyFill="1" applyBorder="1" applyAlignment="1">
      <alignment horizontal="center" wrapText="1"/>
    </xf>
    <xf numFmtId="0" fontId="7" fillId="0" borderId="22" xfId="0" applyFont="1" applyFill="1" applyBorder="1" applyAlignment="1">
      <alignment horizontal="center" vertical="center"/>
    </xf>
    <xf numFmtId="0" fontId="7" fillId="0" borderId="30" xfId="0" applyFont="1" applyFill="1" applyBorder="1" applyAlignment="1">
      <alignment horizontal="center" vertical="center"/>
    </xf>
    <xf numFmtId="0" fontId="7" fillId="0" borderId="25" xfId="0" applyFont="1" applyFill="1" applyBorder="1" applyAlignment="1">
      <alignment horizontal="center" vertical="center"/>
    </xf>
    <xf numFmtId="0" fontId="7" fillId="0" borderId="21" xfId="0" applyFont="1" applyFill="1" applyBorder="1" applyAlignment="1">
      <alignment horizontal="center" vertical="center"/>
    </xf>
    <xf numFmtId="0" fontId="33" fillId="26" borderId="0" xfId="0" applyFont="1" applyFill="1" applyAlignment="1">
      <alignment horizontal="center" vertical="center"/>
    </xf>
    <xf numFmtId="0" fontId="20" fillId="0" borderId="17" xfId="0" applyFont="1" applyFill="1" applyBorder="1" applyAlignment="1">
      <alignment horizontal="center" vertical="center"/>
    </xf>
    <xf numFmtId="0" fontId="20" fillId="0" borderId="19" xfId="0" applyFont="1" applyFill="1" applyBorder="1" applyAlignment="1">
      <alignment horizontal="center" vertical="center"/>
    </xf>
    <xf numFmtId="0" fontId="20" fillId="0" borderId="18" xfId="0" applyFont="1" applyFill="1" applyBorder="1" applyAlignment="1">
      <alignment horizontal="center" vertical="center"/>
    </xf>
    <xf numFmtId="0" fontId="20" fillId="0" borderId="27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1" fillId="12" borderId="23" xfId="0" applyFont="1" applyFill="1" applyBorder="1" applyAlignment="1">
      <alignment horizontal="center" vertical="center"/>
    </xf>
    <xf numFmtId="0" fontId="20" fillId="0" borderId="28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/>
    </xf>
    <xf numFmtId="0" fontId="20" fillId="0" borderId="26" xfId="0" applyFont="1" applyFill="1" applyBorder="1" applyAlignment="1">
      <alignment horizontal="center" vertical="center"/>
    </xf>
    <xf numFmtId="0" fontId="20" fillId="0" borderId="21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0" borderId="8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20" borderId="8" xfId="0" applyFont="1" applyFill="1" applyBorder="1" applyAlignment="1">
      <alignment horizontal="center"/>
    </xf>
    <xf numFmtId="0" fontId="2" fillId="20" borderId="0" xfId="0" applyFont="1" applyFill="1" applyBorder="1" applyAlignment="1">
      <alignment horizontal="center"/>
    </xf>
    <xf numFmtId="0" fontId="2" fillId="20" borderId="5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center" vertical="center"/>
    </xf>
    <xf numFmtId="0" fontId="2" fillId="14" borderId="8" xfId="0" applyFont="1" applyFill="1" applyBorder="1" applyAlignment="1">
      <alignment horizontal="center" vertical="center"/>
    </xf>
    <xf numFmtId="0" fontId="2" fillId="14" borderId="0" xfId="0" applyFont="1" applyFill="1" applyBorder="1" applyAlignment="1">
      <alignment horizontal="center" vertical="center"/>
    </xf>
    <xf numFmtId="0" fontId="2" fillId="14" borderId="5" xfId="0" applyFont="1" applyFill="1" applyBorder="1" applyAlignment="1">
      <alignment horizontal="center" vertical="center"/>
    </xf>
    <xf numFmtId="0" fontId="2" fillId="19" borderId="10" xfId="0" applyFont="1" applyFill="1" applyBorder="1" applyAlignment="1">
      <alignment horizontal="center" vertical="center"/>
    </xf>
    <xf numFmtId="0" fontId="2" fillId="19" borderId="11" xfId="0" applyFont="1" applyFill="1" applyBorder="1" applyAlignment="1">
      <alignment horizontal="center" vertical="center"/>
    </xf>
    <xf numFmtId="0" fontId="2" fillId="19" borderId="12" xfId="0" applyFont="1" applyFill="1" applyBorder="1" applyAlignment="1">
      <alignment horizontal="center" vertical="center"/>
    </xf>
    <xf numFmtId="0" fontId="2" fillId="19" borderId="13" xfId="0" applyFont="1" applyFill="1" applyBorder="1" applyAlignment="1">
      <alignment horizontal="center" vertical="center"/>
    </xf>
    <xf numFmtId="0" fontId="2" fillId="19" borderId="14" xfId="0" applyFont="1" applyFill="1" applyBorder="1" applyAlignment="1">
      <alignment horizontal="center" vertical="center"/>
    </xf>
    <xf numFmtId="0" fontId="2" fillId="16" borderId="10" xfId="0" applyFont="1" applyFill="1" applyBorder="1" applyAlignment="1">
      <alignment horizontal="center" vertical="center"/>
    </xf>
    <xf numFmtId="0" fontId="2" fillId="16" borderId="11" xfId="0" applyFont="1" applyFill="1" applyBorder="1" applyAlignment="1">
      <alignment horizontal="center" vertical="center"/>
    </xf>
    <xf numFmtId="0" fontId="2" fillId="16" borderId="12" xfId="0" applyFont="1" applyFill="1" applyBorder="1" applyAlignment="1">
      <alignment horizontal="center" vertical="center"/>
    </xf>
    <xf numFmtId="0" fontId="2" fillId="16" borderId="13" xfId="0" applyFont="1" applyFill="1" applyBorder="1" applyAlignment="1">
      <alignment horizontal="center" vertical="center"/>
    </xf>
    <xf numFmtId="0" fontId="2" fillId="16" borderId="14" xfId="0" applyFont="1" applyFill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21" fillId="12" borderId="0" xfId="0" applyFont="1" applyFill="1" applyAlignment="1">
      <alignment horizontal="center"/>
    </xf>
    <xf numFmtId="0" fontId="21" fillId="16" borderId="0" xfId="0" applyFont="1" applyFill="1" applyAlignment="1">
      <alignment horizontal="center"/>
    </xf>
    <xf numFmtId="0" fontId="7" fillId="22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7" fillId="12" borderId="0" xfId="0" applyFont="1" applyFill="1" applyAlignment="1">
      <alignment horizontal="center"/>
    </xf>
    <xf numFmtId="0" fontId="7" fillId="15" borderId="0" xfId="0" applyFont="1" applyFill="1" applyAlignment="1">
      <alignment horizontal="center"/>
    </xf>
    <xf numFmtId="0" fontId="27" fillId="0" borderId="0" xfId="0" applyFont="1" applyAlignment="1">
      <alignment horizontal="center"/>
    </xf>
    <xf numFmtId="172" fontId="28" fillId="0" borderId="0" xfId="0" applyNumberFormat="1" applyFont="1" applyAlignment="1">
      <alignment horizontal="center"/>
    </xf>
    <xf numFmtId="0" fontId="7" fillId="21" borderId="0" xfId="0" applyFont="1" applyFill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4" xfId="3" xr:uid="{00000000-0005-0000-0000-000002000000}"/>
    <cellStyle name="Percent 2" xfId="2" xr:uid="{00000000-0005-0000-0000-000003000000}"/>
  </cellStyles>
  <dxfs count="23"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172D57"/>
      <color rgb="FFFF33CC"/>
      <color rgb="FF00FFFF"/>
      <color rgb="FF00FF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'1'!$M$37</c:f>
              <c:strCache>
                <c:ptCount val="1"/>
                <c:pt idx="0">
                  <c:v>Vel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'1'!$J$38:$J$57</c:f>
              <c:numCache>
                <c:formatCode>General</c:formatCode>
                <c:ptCount val="20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  <c:pt idx="11">
                  <c:v>600</c:v>
                </c:pt>
                <c:pt idx="12">
                  <c:v>650</c:v>
                </c:pt>
                <c:pt idx="13">
                  <c:v>700</c:v>
                </c:pt>
                <c:pt idx="14">
                  <c:v>750</c:v>
                </c:pt>
                <c:pt idx="15">
                  <c:v>800</c:v>
                </c:pt>
                <c:pt idx="16">
                  <c:v>850</c:v>
                </c:pt>
                <c:pt idx="17">
                  <c:v>900</c:v>
                </c:pt>
                <c:pt idx="18">
                  <c:v>950</c:v>
                </c:pt>
                <c:pt idx="19">
                  <c:v>1000</c:v>
                </c:pt>
              </c:numCache>
            </c:numRef>
          </c:xVal>
          <c:yVal>
            <c:numRef>
              <c:f>'1'!$M$38:$M$57</c:f>
              <c:numCache>
                <c:formatCode>General</c:formatCode>
                <c:ptCount val="20"/>
                <c:pt idx="0">
                  <c:v>4.5454545454545459</c:v>
                </c:pt>
                <c:pt idx="1">
                  <c:v>5.3304904051172715</c:v>
                </c:pt>
                <c:pt idx="2">
                  <c:v>5.1072522982635347</c:v>
                </c:pt>
                <c:pt idx="3">
                  <c:v>4.8828125000000009</c:v>
                </c:pt>
                <c:pt idx="4">
                  <c:v>4.6468401486988853</c:v>
                </c:pt>
                <c:pt idx="5">
                  <c:v>4.4091710758377429</c:v>
                </c:pt>
                <c:pt idx="6">
                  <c:v>4.3591979075850045</c:v>
                </c:pt>
                <c:pt idx="7">
                  <c:v>4.2087542087542085</c:v>
                </c:pt>
                <c:pt idx="8">
                  <c:v>4.1425020712510356</c:v>
                </c:pt>
                <c:pt idx="9">
                  <c:v>4.1631973355537051</c:v>
                </c:pt>
                <c:pt idx="10">
                  <c:v>4.1736227045075127</c:v>
                </c:pt>
                <c:pt idx="11">
                  <c:v>4.1562759767248538</c:v>
                </c:pt>
                <c:pt idx="12">
                  <c:v>4.4247787610619467</c:v>
                </c:pt>
                <c:pt idx="13">
                  <c:v>4.2480883602378929</c:v>
                </c:pt>
                <c:pt idx="14">
                  <c:v>4.0617384240454921</c:v>
                </c:pt>
                <c:pt idx="15">
                  <c:v>4.3821209465381248</c:v>
                </c:pt>
                <c:pt idx="16">
                  <c:v>4.4247787610619467</c:v>
                </c:pt>
                <c:pt idx="17">
                  <c:v>4</c:v>
                </c:pt>
                <c:pt idx="18">
                  <c:v>4.0257648953301128</c:v>
                </c:pt>
                <c:pt idx="19">
                  <c:v>3.8759689922480618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2F-40C6-9097-636623F0E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72016"/>
        <c:axId val="229171232"/>
      </c:scatterChart>
      <c:scatterChart>
        <c:scatterStyle val="smoothMarker"/>
        <c:varyColors val="0"/>
        <c:ser>
          <c:idx val="1"/>
          <c:order val="1"/>
          <c:tx>
            <c:strRef>
              <c:f>'1'!$N$37</c:f>
              <c:strCache>
                <c:ptCount val="1"/>
                <c:pt idx="0">
                  <c:v>SR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'1'!$J$38:$J$57</c:f>
              <c:numCache>
                <c:formatCode>General</c:formatCode>
                <c:ptCount val="20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  <c:pt idx="11">
                  <c:v>600</c:v>
                </c:pt>
                <c:pt idx="12">
                  <c:v>650</c:v>
                </c:pt>
                <c:pt idx="13">
                  <c:v>700</c:v>
                </c:pt>
                <c:pt idx="14">
                  <c:v>750</c:v>
                </c:pt>
                <c:pt idx="15">
                  <c:v>800</c:v>
                </c:pt>
                <c:pt idx="16">
                  <c:v>850</c:v>
                </c:pt>
                <c:pt idx="17">
                  <c:v>900</c:v>
                </c:pt>
                <c:pt idx="18">
                  <c:v>950</c:v>
                </c:pt>
                <c:pt idx="19">
                  <c:v>1000</c:v>
                </c:pt>
              </c:numCache>
            </c:numRef>
          </c:xVal>
          <c:yVal>
            <c:numRef>
              <c:f>'1'!$N$38:$N$57</c:f>
              <c:numCache>
                <c:formatCode>General</c:formatCode>
                <c:ptCount val="20"/>
                <c:pt idx="0">
                  <c:v>142.47999999999999</c:v>
                </c:pt>
                <c:pt idx="1">
                  <c:v>124.42</c:v>
                </c:pt>
                <c:pt idx="2">
                  <c:v>116.88</c:v>
                </c:pt>
                <c:pt idx="3">
                  <c:v>110.66</c:v>
                </c:pt>
                <c:pt idx="4">
                  <c:v>109.09</c:v>
                </c:pt>
                <c:pt idx="5">
                  <c:v>104.45</c:v>
                </c:pt>
                <c:pt idx="6">
                  <c:v>99.17</c:v>
                </c:pt>
                <c:pt idx="7">
                  <c:v>98.54</c:v>
                </c:pt>
                <c:pt idx="8">
                  <c:v>98.18</c:v>
                </c:pt>
                <c:pt idx="9">
                  <c:v>99.08</c:v>
                </c:pt>
                <c:pt idx="10">
                  <c:v>98.36</c:v>
                </c:pt>
                <c:pt idx="11">
                  <c:v>99.82</c:v>
                </c:pt>
                <c:pt idx="12">
                  <c:v>101.12</c:v>
                </c:pt>
                <c:pt idx="13">
                  <c:v>99.63</c:v>
                </c:pt>
                <c:pt idx="14">
                  <c:v>103.05</c:v>
                </c:pt>
                <c:pt idx="15">
                  <c:v>101.69</c:v>
                </c:pt>
                <c:pt idx="16">
                  <c:v>101.31</c:v>
                </c:pt>
                <c:pt idx="17">
                  <c:v>100.67</c:v>
                </c:pt>
                <c:pt idx="18">
                  <c:v>100.19</c:v>
                </c:pt>
                <c:pt idx="19">
                  <c:v>97.47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2F-40C6-9097-636623F0E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76720"/>
        <c:axId val="229173584"/>
      </c:scatterChart>
      <c:valAx>
        <c:axId val="22917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171232"/>
        <c:crosses val="autoZero"/>
        <c:crossBetween val="midCat"/>
      </c:valAx>
      <c:valAx>
        <c:axId val="2291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172016"/>
        <c:crosses val="autoZero"/>
        <c:crossBetween val="midCat"/>
      </c:valAx>
      <c:valAx>
        <c:axId val="2291735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176720"/>
        <c:crosses val="max"/>
        <c:crossBetween val="midCat"/>
      </c:valAx>
      <c:valAx>
        <c:axId val="229176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9173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Vel_all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'1'!$J$38:$J$57</c:f>
              <c:numCache>
                <c:formatCode>General</c:formatCode>
                <c:ptCount val="20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  <c:pt idx="11">
                  <c:v>600</c:v>
                </c:pt>
                <c:pt idx="12">
                  <c:v>650</c:v>
                </c:pt>
                <c:pt idx="13">
                  <c:v>700</c:v>
                </c:pt>
                <c:pt idx="14">
                  <c:v>750</c:v>
                </c:pt>
                <c:pt idx="15">
                  <c:v>800</c:v>
                </c:pt>
                <c:pt idx="16">
                  <c:v>850</c:v>
                </c:pt>
                <c:pt idx="17">
                  <c:v>900</c:v>
                </c:pt>
                <c:pt idx="18">
                  <c:v>950</c:v>
                </c:pt>
                <c:pt idx="19">
                  <c:v>1000</c:v>
                </c:pt>
              </c:numCache>
            </c:numRef>
          </c:xVal>
          <c:yVal>
            <c:numRef>
              <c:f>'1'!$R$38:$R$57</c:f>
              <c:numCache>
                <c:formatCode>0.0</c:formatCode>
                <c:ptCount val="20"/>
                <c:pt idx="0" formatCode="General">
                  <c:v>0.1670140295409519</c:v>
                </c:pt>
                <c:pt idx="1">
                  <c:v>0.9520498892036775</c:v>
                </c:pt>
                <c:pt idx="2" formatCode="General">
                  <c:v>0.72881178234994071</c:v>
                </c:pt>
                <c:pt idx="3" formatCode="General">
                  <c:v>0.50437198408640693</c:v>
                </c:pt>
                <c:pt idx="4" formatCode="General">
                  <c:v>0.26839963278529133</c:v>
                </c:pt>
                <c:pt idx="5" formatCode="General">
                  <c:v>3.073055992414897E-2</c:v>
                </c:pt>
                <c:pt idx="6" formatCode="General">
                  <c:v>-1.9242608328589483E-2</c:v>
                </c:pt>
                <c:pt idx="7" formatCode="General">
                  <c:v>-0.16968630715938549</c:v>
                </c:pt>
                <c:pt idx="8" formatCode="General">
                  <c:v>-0.23593844466255831</c:v>
                </c:pt>
                <c:pt idx="9" formatCode="General">
                  <c:v>-0.21524318035988887</c:v>
                </c:pt>
                <c:pt idx="10" formatCode="General">
                  <c:v>-0.20481781140608124</c:v>
                </c:pt>
                <c:pt idx="11" formatCode="General">
                  <c:v>-0.22216453918874013</c:v>
                </c:pt>
                <c:pt idx="12" formatCode="General">
                  <c:v>4.6338245148352719E-2</c:v>
                </c:pt>
                <c:pt idx="13" formatCode="General">
                  <c:v>-0.13035215567570102</c:v>
                </c:pt>
                <c:pt idx="14" formatCode="General">
                  <c:v>-0.31670209186810183</c:v>
                </c:pt>
                <c:pt idx="15" formatCode="General">
                  <c:v>3.6804306245308283E-3</c:v>
                </c:pt>
                <c:pt idx="16" formatCode="General">
                  <c:v>4.6338245148352719E-2</c:v>
                </c:pt>
                <c:pt idx="17" formatCode="General">
                  <c:v>-0.37844051591359396</c:v>
                </c:pt>
                <c:pt idx="18" formatCode="General">
                  <c:v>-0.35267562058348112</c:v>
                </c:pt>
                <c:pt idx="19" formatCode="General">
                  <c:v>-0.50247152366553216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AE-491A-A2F9-5AEB126A1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062520"/>
        <c:axId val="510060224"/>
      </c:scatterChart>
      <c:valAx>
        <c:axId val="510062520"/>
        <c:scaling>
          <c:orientation val="minMax"/>
          <c:max val="100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60224"/>
        <c:crosses val="autoZero"/>
        <c:crossBetween val="midCat"/>
      </c:valAx>
      <c:valAx>
        <c:axId val="510060224"/>
        <c:scaling>
          <c:orientation val="minMax"/>
          <c:max val="1.6"/>
          <c:min val="-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Vel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62520"/>
        <c:crosses val="autoZero"/>
        <c:crossBetween val="midCat"/>
        <c:majorUnit val="0.4"/>
        <c:min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Str Rte_all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'1'!$J$38:$J$57</c:f>
              <c:numCache>
                <c:formatCode>General</c:formatCode>
                <c:ptCount val="20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  <c:pt idx="11">
                  <c:v>600</c:v>
                </c:pt>
                <c:pt idx="12">
                  <c:v>650</c:v>
                </c:pt>
                <c:pt idx="13">
                  <c:v>700</c:v>
                </c:pt>
                <c:pt idx="14">
                  <c:v>750</c:v>
                </c:pt>
                <c:pt idx="15">
                  <c:v>800</c:v>
                </c:pt>
                <c:pt idx="16">
                  <c:v>850</c:v>
                </c:pt>
                <c:pt idx="17">
                  <c:v>900</c:v>
                </c:pt>
                <c:pt idx="18">
                  <c:v>950</c:v>
                </c:pt>
                <c:pt idx="19">
                  <c:v>1000</c:v>
                </c:pt>
              </c:numCache>
            </c:numRef>
          </c:xVal>
          <c:yVal>
            <c:numRef>
              <c:f>'1'!$S$38:$S$57</c:f>
              <c:numCache>
                <c:formatCode>General</c:formatCode>
                <c:ptCount val="20"/>
                <c:pt idx="0">
                  <c:v>37.167000000000002</c:v>
                </c:pt>
                <c:pt idx="1">
                  <c:v>19.107000000000014</c:v>
                </c:pt>
                <c:pt idx="2">
                  <c:v>11.567000000000007</c:v>
                </c:pt>
                <c:pt idx="3">
                  <c:v>5.3470000000000084</c:v>
                </c:pt>
                <c:pt idx="4">
                  <c:v>3.7770000000000152</c:v>
                </c:pt>
                <c:pt idx="5">
                  <c:v>-0.86299999999998533</c:v>
                </c:pt>
                <c:pt idx="6">
                  <c:v>-6.1429999999999865</c:v>
                </c:pt>
                <c:pt idx="7">
                  <c:v>-6.7729999999999819</c:v>
                </c:pt>
                <c:pt idx="8">
                  <c:v>-7.1329999999999814</c:v>
                </c:pt>
                <c:pt idx="9">
                  <c:v>-6.2329999999999899</c:v>
                </c:pt>
                <c:pt idx="10">
                  <c:v>-6.9529999999999887</c:v>
                </c:pt>
                <c:pt idx="11">
                  <c:v>-5.492999999999995</c:v>
                </c:pt>
                <c:pt idx="12">
                  <c:v>-4.1929999999999836</c:v>
                </c:pt>
                <c:pt idx="13">
                  <c:v>-5.6829999999999927</c:v>
                </c:pt>
                <c:pt idx="14">
                  <c:v>-2.262999999999991</c:v>
                </c:pt>
                <c:pt idx="15">
                  <c:v>-3.6229999999999905</c:v>
                </c:pt>
                <c:pt idx="16">
                  <c:v>-4.0029999999999859</c:v>
                </c:pt>
                <c:pt idx="17">
                  <c:v>-4.6429999999999865</c:v>
                </c:pt>
                <c:pt idx="18">
                  <c:v>-5.1229999999999905</c:v>
                </c:pt>
                <c:pt idx="19">
                  <c:v>-7.8429999999999893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8-48A5-85C9-2FADC440A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062520"/>
        <c:axId val="510060224"/>
      </c:scatterChart>
      <c:valAx>
        <c:axId val="510062520"/>
        <c:scaling>
          <c:orientation val="minMax"/>
          <c:max val="100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60224"/>
        <c:crosses val="autoZero"/>
        <c:crossBetween val="midCat"/>
      </c:valAx>
      <c:valAx>
        <c:axId val="51006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 Rte (s/min)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62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'2'!$M$37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'2'!$J$38:$J$57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'2'!$M$38:$M$57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4A-4878-A5E7-D7880B679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52944"/>
        <c:axId val="227453336"/>
      </c:scatterChart>
      <c:scatterChart>
        <c:scatterStyle val="smoothMarker"/>
        <c:varyColors val="0"/>
        <c:ser>
          <c:idx val="1"/>
          <c:order val="1"/>
          <c:tx>
            <c:strRef>
              <c:f>'2'!$N$37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'2'!$J$38:$J$57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'2'!$N$38:$N$57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4A-4878-A5E7-D7880B679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74368"/>
        <c:axId val="157231504"/>
      </c:scatterChart>
      <c:valAx>
        <c:axId val="22745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453336"/>
        <c:crosses val="autoZero"/>
        <c:crossBetween val="midCat"/>
      </c:valAx>
      <c:valAx>
        <c:axId val="227453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452944"/>
        <c:crosses val="autoZero"/>
        <c:crossBetween val="midCat"/>
      </c:valAx>
      <c:valAx>
        <c:axId val="157231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174368"/>
        <c:crosses val="max"/>
        <c:crossBetween val="midCat"/>
      </c:valAx>
      <c:valAx>
        <c:axId val="229174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7231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'3'!$M$37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'3'!$J$38:$J$57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'3'!$M$38:$M$57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A1-429A-AF67-136F4BBB1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32200"/>
        <c:axId val="229529064"/>
      </c:scatterChart>
      <c:scatterChart>
        <c:scatterStyle val="smoothMarker"/>
        <c:varyColors val="0"/>
        <c:ser>
          <c:idx val="1"/>
          <c:order val="1"/>
          <c:tx>
            <c:strRef>
              <c:f>'3'!$N$37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'3'!$J$38:$J$57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'3'!$N$38:$N$57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A1-429A-AF67-136F4BBB1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30632"/>
        <c:axId val="229530240"/>
      </c:scatterChart>
      <c:valAx>
        <c:axId val="229532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29064"/>
        <c:crosses val="autoZero"/>
        <c:crossBetween val="midCat"/>
      </c:valAx>
      <c:valAx>
        <c:axId val="22952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2200"/>
        <c:crosses val="autoZero"/>
        <c:crossBetween val="midCat"/>
      </c:valAx>
      <c:valAx>
        <c:axId val="2295302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0632"/>
        <c:crosses val="max"/>
        <c:crossBetween val="midCat"/>
      </c:valAx>
      <c:valAx>
        <c:axId val="229530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953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769704029344371E-2"/>
          <c:y val="5.288007292175935E-2"/>
          <c:w val="0.82254813323736642"/>
          <c:h val="0.80047279781734371"/>
        </c:manualLayout>
      </c:layout>
      <c:scatterChart>
        <c:scatterStyle val="smoothMarker"/>
        <c:varyColors val="0"/>
        <c:ser>
          <c:idx val="0"/>
          <c:order val="0"/>
          <c:tx>
            <c:v>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'Rpt-1'!$B$45:$B$65</c:f>
              <c:numCache>
                <c:formatCode>General</c:formatCode>
                <c:ptCount val="2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'Rpt-1'!$F$45:$F$65</c:f>
              <c:numCache>
                <c:formatCode>0.0</c:formatCode>
                <c:ptCount val="21"/>
                <c:pt idx="0" formatCode="General">
                  <c:v>0</c:v>
                </c:pt>
                <c:pt idx="1">
                  <c:v>16.363636363636367</c:v>
                </c:pt>
                <c:pt idx="2">
                  <c:v>19.189765458422176</c:v>
                </c:pt>
                <c:pt idx="3">
                  <c:v>18.386108273748725</c:v>
                </c:pt>
                <c:pt idx="4">
                  <c:v>17.578125000000004</c:v>
                </c:pt>
                <c:pt idx="5">
                  <c:v>16.728624535315987</c:v>
                </c:pt>
                <c:pt idx="6">
                  <c:v>15.873015873015875</c:v>
                </c:pt>
                <c:pt idx="7">
                  <c:v>15.693112467306017</c:v>
                </c:pt>
                <c:pt idx="8">
                  <c:v>15.15151515151515</c:v>
                </c:pt>
                <c:pt idx="9">
                  <c:v>14.913007456503729</c:v>
                </c:pt>
                <c:pt idx="10">
                  <c:v>14.987510407993339</c:v>
                </c:pt>
                <c:pt idx="11">
                  <c:v>15.025041736227045</c:v>
                </c:pt>
                <c:pt idx="12">
                  <c:v>14.962593516209473</c:v>
                </c:pt>
                <c:pt idx="13">
                  <c:v>15.929203539823009</c:v>
                </c:pt>
                <c:pt idx="14">
                  <c:v>15.293118096856414</c:v>
                </c:pt>
                <c:pt idx="15">
                  <c:v>14.622258326563772</c:v>
                </c:pt>
                <c:pt idx="16">
                  <c:v>15.77563540753725</c:v>
                </c:pt>
                <c:pt idx="17">
                  <c:v>15.929203539823009</c:v>
                </c:pt>
                <c:pt idx="18">
                  <c:v>14.4</c:v>
                </c:pt>
                <c:pt idx="19">
                  <c:v>14.492753623188406</c:v>
                </c:pt>
                <c:pt idx="20">
                  <c:v>13.953488372093023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50-4854-92E3-0B95B0AAC611}"/>
            </c:ext>
          </c:extLst>
        </c:ser>
        <c:ser>
          <c:idx val="2"/>
          <c:order val="2"/>
          <c:tx>
            <c:v>WB Vel</c:v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6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833D-4F25-91DE-FFC7ACBE554B}"/>
              </c:ext>
            </c:extLst>
          </c:dPt>
          <c:xVal>
            <c:numRef>
              <c:f>'Rpt-1'!$N$15:$N$16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'Rpt-1'!$Q$15:$Q$16</c:f>
              <c:numCache>
                <c:formatCode>General</c:formatCode>
                <c:ptCount val="2"/>
                <c:pt idx="0">
                  <c:v>17.374286779494962</c:v>
                </c:pt>
                <c:pt idx="1">
                  <c:v>17.374286779494962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17-4701-B198-0A17FA29F845}"/>
            </c:ext>
          </c:extLst>
        </c:ser>
        <c:ser>
          <c:idx val="3"/>
          <c:order val="3"/>
          <c:tx>
            <c:v>Win Vel</c:v>
          </c:tx>
          <c:spPr>
            <a:ln w="19050" cap="rnd">
              <a:solidFill>
                <a:srgbClr val="FF33CC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'Rpt-1'!$N$15:$N$16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'Rpt-1'!$S$15:$S$16</c:f>
              <c:numCache>
                <c:formatCode>General</c:formatCode>
                <c:ptCount val="2"/>
                <c:pt idx="0">
                  <c:v>17.112706184341874</c:v>
                </c:pt>
                <c:pt idx="1">
                  <c:v>17.112706184341874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9C-4033-9593-AB1D7100D55C}"/>
            </c:ext>
          </c:extLst>
        </c:ser>
        <c:ser>
          <c:idx val="4"/>
          <c:order val="4"/>
          <c:tx>
            <c:v>Av Vel</c:v>
          </c:tx>
          <c:spPr>
            <a:ln w="19050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'Rpt-1'!$N$15:$N$16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'Rpt-1'!$U$15:$U$16</c:f>
              <c:numCache>
                <c:formatCode>General</c:formatCode>
                <c:ptCount val="2"/>
                <c:pt idx="0">
                  <c:v>15.659663317238678</c:v>
                </c:pt>
                <c:pt idx="1">
                  <c:v>15.659663317238678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C9-450C-B942-2A92C4B71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29456"/>
        <c:axId val="229531024"/>
      </c:scatterChart>
      <c:scatterChart>
        <c:scatterStyle val="smoothMarker"/>
        <c:varyColors val="0"/>
        <c:ser>
          <c:idx val="1"/>
          <c:order val="1"/>
          <c:tx>
            <c:v>Str Rte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'Rpt-1'!$B$45:$B$65</c:f>
              <c:numCache>
                <c:formatCode>General</c:formatCode>
                <c:ptCount val="2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'Rpt-1'!$H$45:$H$65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142.47999999999999</c:v>
                </c:pt>
                <c:pt idx="2">
                  <c:v>124.42</c:v>
                </c:pt>
                <c:pt idx="3">
                  <c:v>116.88</c:v>
                </c:pt>
                <c:pt idx="4">
                  <c:v>110.66</c:v>
                </c:pt>
                <c:pt idx="5">
                  <c:v>109.09</c:v>
                </c:pt>
                <c:pt idx="6">
                  <c:v>104.45</c:v>
                </c:pt>
                <c:pt idx="7">
                  <c:v>99.17</c:v>
                </c:pt>
                <c:pt idx="8">
                  <c:v>98.54</c:v>
                </c:pt>
                <c:pt idx="9">
                  <c:v>98.18</c:v>
                </c:pt>
                <c:pt idx="10">
                  <c:v>99.08</c:v>
                </c:pt>
                <c:pt idx="11">
                  <c:v>98.36</c:v>
                </c:pt>
                <c:pt idx="12">
                  <c:v>99.82</c:v>
                </c:pt>
                <c:pt idx="13">
                  <c:v>101.12</c:v>
                </c:pt>
                <c:pt idx="14">
                  <c:v>99.63</c:v>
                </c:pt>
                <c:pt idx="15">
                  <c:v>103.05</c:v>
                </c:pt>
                <c:pt idx="16">
                  <c:v>101.69</c:v>
                </c:pt>
                <c:pt idx="17">
                  <c:v>101.31</c:v>
                </c:pt>
                <c:pt idx="18">
                  <c:v>100.67</c:v>
                </c:pt>
                <c:pt idx="19">
                  <c:v>100.19</c:v>
                </c:pt>
                <c:pt idx="20">
                  <c:v>97.47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50-4854-92E3-0B95B0AA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27496"/>
        <c:axId val="229534552"/>
      </c:scatterChart>
      <c:valAx>
        <c:axId val="229529456"/>
        <c:scaling>
          <c:orientation val="minMax"/>
          <c:max val="1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1024"/>
        <c:crosses val="autoZero"/>
        <c:crossBetween val="midCat"/>
        <c:majorUnit val="50"/>
        <c:minorUnit val="25"/>
      </c:valAx>
      <c:valAx>
        <c:axId val="229531024"/>
        <c:scaling>
          <c:orientation val="minMax"/>
          <c:max val="20"/>
          <c:min val="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Vel (km/hr)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29456"/>
        <c:crosses val="autoZero"/>
        <c:crossBetween val="midCat"/>
        <c:majorUnit val="1"/>
        <c:minorUnit val="0.5"/>
      </c:valAx>
      <c:valAx>
        <c:axId val="229534552"/>
        <c:scaling>
          <c:orientation val="minMax"/>
          <c:max val="150"/>
          <c:min val="94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Str Rte (s/min)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27496"/>
        <c:crosses val="max"/>
        <c:crossBetween val="midCat"/>
        <c:majorUnit val="5"/>
        <c:minorUnit val="1"/>
      </c:valAx>
      <c:valAx>
        <c:axId val="229527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9534552"/>
        <c:crosses val="autoZero"/>
        <c:crossBetween val="midCat"/>
      </c:valAx>
      <c:spPr>
        <a:solidFill>
          <a:schemeClr val="bg1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32983391811893653"/>
          <c:y val="5.0070196665492187E-2"/>
          <c:w val="0.57078849869087545"/>
          <c:h val="5.8989179234192668E-2"/>
        </c:manualLayout>
      </c:layout>
      <c:overlay val="0"/>
      <c:spPr>
        <a:solidFill>
          <a:schemeClr val="bg1"/>
        </a:solidFill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3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8312673955714687E-2"/>
          <c:y val="5.288007292175935E-2"/>
          <c:w val="0.89060810570874749"/>
          <c:h val="0.805044061302682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'Rpt-1'!$B$45:$B$65</c:f>
              <c:numCache>
                <c:formatCode>General</c:formatCode>
                <c:ptCount val="2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'Rpt-1'!$F$45:$F$65</c:f>
              <c:numCache>
                <c:formatCode>0.0</c:formatCode>
                <c:ptCount val="21"/>
                <c:pt idx="0" formatCode="General">
                  <c:v>0</c:v>
                </c:pt>
                <c:pt idx="1">
                  <c:v>16.363636363636367</c:v>
                </c:pt>
                <c:pt idx="2">
                  <c:v>19.189765458422176</c:v>
                </c:pt>
                <c:pt idx="3">
                  <c:v>18.386108273748725</c:v>
                </c:pt>
                <c:pt idx="4">
                  <c:v>17.578125000000004</c:v>
                </c:pt>
                <c:pt idx="5">
                  <c:v>16.728624535315987</c:v>
                </c:pt>
                <c:pt idx="6">
                  <c:v>15.873015873015875</c:v>
                </c:pt>
                <c:pt idx="7">
                  <c:v>15.693112467306017</c:v>
                </c:pt>
                <c:pt idx="8">
                  <c:v>15.15151515151515</c:v>
                </c:pt>
                <c:pt idx="9">
                  <c:v>14.913007456503729</c:v>
                </c:pt>
                <c:pt idx="10">
                  <c:v>14.987510407993339</c:v>
                </c:pt>
                <c:pt idx="11">
                  <c:v>15.025041736227045</c:v>
                </c:pt>
                <c:pt idx="12">
                  <c:v>14.962593516209473</c:v>
                </c:pt>
                <c:pt idx="13">
                  <c:v>15.929203539823009</c:v>
                </c:pt>
                <c:pt idx="14">
                  <c:v>15.293118096856414</c:v>
                </c:pt>
                <c:pt idx="15">
                  <c:v>14.622258326563772</c:v>
                </c:pt>
                <c:pt idx="16">
                  <c:v>15.77563540753725</c:v>
                </c:pt>
                <c:pt idx="17">
                  <c:v>15.929203539823009</c:v>
                </c:pt>
                <c:pt idx="18">
                  <c:v>14.4</c:v>
                </c:pt>
                <c:pt idx="19">
                  <c:v>14.492753623188406</c:v>
                </c:pt>
                <c:pt idx="20">
                  <c:v>13.953488372093023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50-4854-92E3-0B95B0AA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29848"/>
        <c:axId val="229531808"/>
      </c:scatterChart>
      <c:valAx>
        <c:axId val="229529848"/>
        <c:scaling>
          <c:orientation val="minMax"/>
          <c:max val="1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1808"/>
        <c:crosses val="autoZero"/>
        <c:crossBetween val="midCat"/>
        <c:majorUnit val="100"/>
        <c:minorUnit val="50"/>
      </c:valAx>
      <c:valAx>
        <c:axId val="229531808"/>
        <c:scaling>
          <c:orientation val="minMax"/>
          <c:max val="20"/>
          <c:min val="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29848"/>
        <c:crosses val="autoZero"/>
        <c:crossBetween val="midCat"/>
        <c:majorUnit val="1"/>
        <c:minorUnit val="0.5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41302558010372065"/>
          <c:y val="5.3524904214559389E-2"/>
          <c:w val="0.18583889421722063"/>
          <c:h val="7.9011109497156465E-2"/>
        </c:manualLayout>
      </c:layout>
      <c:overlay val="1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43016632053061"/>
          <c:y val="5.288007292175935E-2"/>
          <c:w val="0.83229019690955708"/>
          <c:h val="0.805044061302682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'Rpt-1'!$B$45:$B$65</c:f>
              <c:numCache>
                <c:formatCode>General</c:formatCode>
                <c:ptCount val="2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'Rpt-1'!$H$45:$H$65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142.47999999999999</c:v>
                </c:pt>
                <c:pt idx="2">
                  <c:v>124.42</c:v>
                </c:pt>
                <c:pt idx="3">
                  <c:v>116.88</c:v>
                </c:pt>
                <c:pt idx="4">
                  <c:v>110.66</c:v>
                </c:pt>
                <c:pt idx="5">
                  <c:v>109.09</c:v>
                </c:pt>
                <c:pt idx="6">
                  <c:v>104.45</c:v>
                </c:pt>
                <c:pt idx="7">
                  <c:v>99.17</c:v>
                </c:pt>
                <c:pt idx="8">
                  <c:v>98.54</c:v>
                </c:pt>
                <c:pt idx="9">
                  <c:v>98.18</c:v>
                </c:pt>
                <c:pt idx="10">
                  <c:v>99.08</c:v>
                </c:pt>
                <c:pt idx="11">
                  <c:v>98.36</c:v>
                </c:pt>
                <c:pt idx="12">
                  <c:v>99.82</c:v>
                </c:pt>
                <c:pt idx="13">
                  <c:v>101.12</c:v>
                </c:pt>
                <c:pt idx="14">
                  <c:v>99.63</c:v>
                </c:pt>
                <c:pt idx="15">
                  <c:v>103.05</c:v>
                </c:pt>
                <c:pt idx="16">
                  <c:v>101.69</c:v>
                </c:pt>
                <c:pt idx="17">
                  <c:v>101.31</c:v>
                </c:pt>
                <c:pt idx="18">
                  <c:v>100.67</c:v>
                </c:pt>
                <c:pt idx="19">
                  <c:v>100.19</c:v>
                </c:pt>
                <c:pt idx="20">
                  <c:v>97.47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E7-442C-B1B0-E59E8F473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710864"/>
        <c:axId val="396711648"/>
      </c:scatterChart>
      <c:valAx>
        <c:axId val="396710864"/>
        <c:scaling>
          <c:orientation val="minMax"/>
          <c:max val="1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1648"/>
        <c:crosses val="autoZero"/>
        <c:crossBetween val="midCat"/>
        <c:majorUnit val="100"/>
        <c:minorUnit val="50"/>
      </c:valAx>
      <c:valAx>
        <c:axId val="396711648"/>
        <c:scaling>
          <c:orientation val="minMax"/>
          <c:max val="150"/>
          <c:min val="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0864"/>
        <c:crosses val="autoZero"/>
        <c:crossBetween val="midCat"/>
        <c:majorUnit val="5"/>
        <c:minorUnit val="1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41302558010372065"/>
          <c:y val="4.8659003831417622E-2"/>
          <c:w val="0.18583889421722063"/>
          <c:h val="7.901113862618081E-2"/>
        </c:manualLayout>
      </c:layout>
      <c:overlay val="1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3706540697096942E-2"/>
          <c:y val="5.288007292175935E-2"/>
          <c:w val="0.90695095187727315"/>
          <c:h val="0.800178160919540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'Rpt-1'!$B$45:$B$65</c:f>
              <c:numCache>
                <c:formatCode>General</c:formatCode>
                <c:ptCount val="2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'Rpt-1'!$I$45:$I$65</c:f>
              <c:numCache>
                <c:formatCode>0.0</c:formatCode>
                <c:ptCount val="21"/>
                <c:pt idx="1">
                  <c:v>39.548434915509787</c:v>
                </c:pt>
                <c:pt idx="2">
                  <c:v>73.040300492915605</c:v>
                </c:pt>
                <c:pt idx="3">
                  <c:v>68.386910642271474</c:v>
                </c:pt>
                <c:pt idx="4">
                  <c:v>63.120543191903955</c:v>
                </c:pt>
                <c:pt idx="5">
                  <c:v>55.187345824650464</c:v>
                </c:pt>
                <c:pt idx="6">
                  <c:v>49.239502397299439</c:v>
                </c:pt>
                <c:pt idx="7">
                  <c:v>50.117649720650398</c:v>
                </c:pt>
                <c:pt idx="8">
                  <c:v>45.394097227876131</c:v>
                </c:pt>
                <c:pt idx="9">
                  <c:v>43.442661603535093</c:v>
                </c:pt>
                <c:pt idx="10">
                  <c:v>43.696458848789717</c:v>
                </c:pt>
                <c:pt idx="11">
                  <c:v>44.347821330540242</c:v>
                </c:pt>
                <c:pt idx="12">
                  <c:v>43.156559599548856</c:v>
                </c:pt>
                <c:pt idx="13">
                  <c:v>51.403048032859132</c:v>
                </c:pt>
                <c:pt idx="14">
                  <c:v>46.168072632688279</c:v>
                </c:pt>
                <c:pt idx="15">
                  <c:v>39.015673522236831</c:v>
                </c:pt>
                <c:pt idx="16">
                  <c:v>49.650780831351206</c:v>
                </c:pt>
                <c:pt idx="17">
                  <c:v>51.306645119758322</c:v>
                </c:pt>
                <c:pt idx="18">
                  <c:v>38.144432303566106</c:v>
                </c:pt>
                <c:pt idx="19">
                  <c:v>39.072580918651362</c:v>
                </c:pt>
                <c:pt idx="20">
                  <c:v>35.844387727812382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1D-45E3-9EE5-A74F6276F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710864"/>
        <c:axId val="396711648"/>
      </c:scatterChart>
      <c:valAx>
        <c:axId val="396710864"/>
        <c:scaling>
          <c:orientation val="minMax"/>
          <c:max val="1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1648"/>
        <c:crosses val="autoZero"/>
        <c:crossBetween val="midCat"/>
        <c:majorUnit val="100"/>
        <c:minorUnit val="50"/>
      </c:valAx>
      <c:valAx>
        <c:axId val="396711648"/>
        <c:scaling>
          <c:orientation val="minMax"/>
          <c:max val="76"/>
          <c:min val="3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0864"/>
        <c:crosses val="autoZero"/>
        <c:crossBetween val="midCat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41302558010372065"/>
          <c:y val="5.3524904214559389E-2"/>
          <c:w val="0.18583889421722063"/>
          <c:h val="7.901113862618081E-2"/>
        </c:manualLayout>
      </c:layout>
      <c:overlay val="1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'Rpt-1'!$J$71:$J$72</c:f>
          <c:strCache>
            <c:ptCount val="2"/>
            <c:pt idx="0">
              <c:v>Pace per 250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'Rpt-1'!$J$71:$J$72</c:f>
              <c:strCache>
                <c:ptCount val="2"/>
                <c:pt idx="0">
                  <c:v>Pace per 250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'Rpt-1'!$A$75:$A$78</c:f>
              <c:numCache>
                <c:formatCode>General</c:formatCode>
                <c:ptCount val="4"/>
                <c:pt idx="0">
                  <c:v>250</c:v>
                </c:pt>
                <c:pt idx="1">
                  <c:v>500</c:v>
                </c:pt>
                <c:pt idx="2">
                  <c:v>750</c:v>
                </c:pt>
                <c:pt idx="3">
                  <c:v>1000</c:v>
                </c:pt>
              </c:numCache>
            </c:numRef>
          </c:cat>
          <c:val>
            <c:numRef>
              <c:f>'Rpt-1'!$J$75:$J$78</c:f>
              <c:numCache>
                <c:formatCode>m:ss.00</c:formatCode>
                <c:ptCount val="4"/>
                <c:pt idx="0">
                  <c:v>2.3699074074074074E-3</c:v>
                </c:pt>
                <c:pt idx="1">
                  <c:v>2.7208333333333329E-3</c:v>
                </c:pt>
                <c:pt idx="2">
                  <c:v>2.7495370370370373E-3</c:v>
                </c:pt>
                <c:pt idx="3">
                  <c:v>2.8023148148148148E-3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14-4D0E-9E60-F33FA80CE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8609375"/>
        <c:axId val="559917375"/>
      </c:barChart>
      <c:catAx>
        <c:axId val="868609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17375"/>
        <c:crosses val="autoZero"/>
        <c:auto val="1"/>
        <c:lblAlgn val="ctr"/>
        <c:lblOffset val="100"/>
        <c:noMultiLvlLbl val="0"/>
      </c:catAx>
      <c:valAx>
        <c:axId val="559917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:ss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609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'Rpt-1'!$J$71:$J$72</c:f>
          <c:strCache>
            <c:ptCount val="2"/>
            <c:pt idx="0">
              <c:v>Pace per 250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'Rpt-1'!$J$71:$J$72</c:f>
              <c:strCache>
                <c:ptCount val="2"/>
                <c:pt idx="0">
                  <c:v>Pace per 250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'Rpt-1'!$A$75:$A$78</c:f>
              <c:numCache>
                <c:formatCode>General</c:formatCode>
                <c:ptCount val="4"/>
                <c:pt idx="0">
                  <c:v>250</c:v>
                </c:pt>
                <c:pt idx="1">
                  <c:v>500</c:v>
                </c:pt>
                <c:pt idx="2">
                  <c:v>750</c:v>
                </c:pt>
                <c:pt idx="3">
                  <c:v>1000</c:v>
                </c:pt>
              </c:numCache>
            </c:numRef>
          </c:cat>
          <c:val>
            <c:numRef>
              <c:f>'Rpt-1'!$Q$19:$Q$22</c:f>
              <c:numCache>
                <c:formatCode>0.00</c:formatCode>
                <c:ptCount val="4"/>
                <c:pt idx="0">
                  <c:v>-6.2800000000000011</c:v>
                </c:pt>
                <c:pt idx="1">
                  <c:v>1.2999999999999901</c:v>
                </c:pt>
                <c:pt idx="2">
                  <c:v>1.9200000000000088</c:v>
                </c:pt>
                <c:pt idx="3">
                  <c:v>3.0600000000000023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1-488D-B3CB-3481D5984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8609375"/>
        <c:axId val="559917375"/>
      </c:barChart>
      <c:catAx>
        <c:axId val="868609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17375"/>
        <c:crosses val="autoZero"/>
        <c:auto val="1"/>
        <c:lblAlgn val="ctr"/>
        <c:lblOffset val="100"/>
        <c:noMultiLvlLbl val="0"/>
      </c:catAx>
      <c:valAx>
        <c:axId val="559917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609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9769704029344371E-2"/>
          <c:y val="5.7451344068790648E-2"/>
          <c:w val="0.89257061534505888"/>
          <c:h val="0.805338697318007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'Rpt-1'!$B$46:$B$65</c:f>
              <c:numCache>
                <c:formatCode>General</c:formatCode>
                <c:ptCount val="20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  <c:pt idx="11">
                  <c:v>600</c:v>
                </c:pt>
                <c:pt idx="12">
                  <c:v>650</c:v>
                </c:pt>
                <c:pt idx="13">
                  <c:v>700</c:v>
                </c:pt>
                <c:pt idx="14">
                  <c:v>750</c:v>
                </c:pt>
                <c:pt idx="15">
                  <c:v>800</c:v>
                </c:pt>
                <c:pt idx="16">
                  <c:v>850</c:v>
                </c:pt>
                <c:pt idx="17">
                  <c:v>900</c:v>
                </c:pt>
                <c:pt idx="18">
                  <c:v>950</c:v>
                </c:pt>
                <c:pt idx="19">
                  <c:v>1000</c:v>
                </c:pt>
              </c:numCache>
            </c:numRef>
          </c:xVal>
          <c:yVal>
            <c:numRef>
              <c:f>'1'!$R$38:$R$57</c:f>
              <c:numCache>
                <c:formatCode>0.0</c:formatCode>
                <c:ptCount val="20"/>
                <c:pt idx="0" formatCode="General">
                  <c:v>0.1670140295409519</c:v>
                </c:pt>
                <c:pt idx="1">
                  <c:v>0.9520498892036775</c:v>
                </c:pt>
                <c:pt idx="2" formatCode="General">
                  <c:v>0.72881178234994071</c:v>
                </c:pt>
                <c:pt idx="3" formatCode="General">
                  <c:v>0.50437198408640693</c:v>
                </c:pt>
                <c:pt idx="4" formatCode="General">
                  <c:v>0.26839963278529133</c:v>
                </c:pt>
                <c:pt idx="5" formatCode="General">
                  <c:v>3.073055992414897E-2</c:v>
                </c:pt>
                <c:pt idx="6" formatCode="General">
                  <c:v>-1.9242608328589483E-2</c:v>
                </c:pt>
                <c:pt idx="7" formatCode="General">
                  <c:v>-0.16968630715938549</c:v>
                </c:pt>
                <c:pt idx="8" formatCode="General">
                  <c:v>-0.23593844466255831</c:v>
                </c:pt>
                <c:pt idx="9" formatCode="General">
                  <c:v>-0.21524318035988887</c:v>
                </c:pt>
                <c:pt idx="10" formatCode="General">
                  <c:v>-0.20481781140608124</c:v>
                </c:pt>
                <c:pt idx="11" formatCode="General">
                  <c:v>-0.22216453918874013</c:v>
                </c:pt>
                <c:pt idx="12" formatCode="General">
                  <c:v>4.6338245148352719E-2</c:v>
                </c:pt>
                <c:pt idx="13" formatCode="General">
                  <c:v>-0.13035215567570102</c:v>
                </c:pt>
                <c:pt idx="14" formatCode="General">
                  <c:v>-0.31670209186810183</c:v>
                </c:pt>
                <c:pt idx="15" formatCode="General">
                  <c:v>3.6804306245308283E-3</c:v>
                </c:pt>
                <c:pt idx="16" formatCode="General">
                  <c:v>4.6338245148352719E-2</c:v>
                </c:pt>
                <c:pt idx="17" formatCode="General">
                  <c:v>-0.37844051591359396</c:v>
                </c:pt>
                <c:pt idx="18" formatCode="General">
                  <c:v>-0.35267562058348112</c:v>
                </c:pt>
                <c:pt idx="19" formatCode="General">
                  <c:v>-0.50247152366553216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B8-438E-A067-6ECB463FC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29848"/>
        <c:axId val="229531808"/>
      </c:scatterChart>
      <c:valAx>
        <c:axId val="229529848"/>
        <c:scaling>
          <c:orientation val="minMax"/>
          <c:max val="1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1808"/>
        <c:crosses val="autoZero"/>
        <c:crossBetween val="midCat"/>
        <c:majorUnit val="100"/>
        <c:minorUnit val="50"/>
      </c:valAx>
      <c:valAx>
        <c:axId val="22953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29848"/>
        <c:crosses val="autoZero"/>
        <c:crossBetween val="midCat"/>
        <c:majorUnit val="0.4"/>
        <c:minorUnit val="0.1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41280999157237397"/>
          <c:y val="5.3524904214559389E-2"/>
          <c:w val="0.18734025632607212"/>
          <c:h val="7.9011109497156465E-2"/>
        </c:manualLayout>
      </c:layout>
      <c:overlay val="1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8.4393538298045787E-2"/>
          <c:y val="5.4550472821780001E-2"/>
          <c:w val="0.86993098035568883"/>
          <c:h val="0.7985076628352489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'Rpt-1'!$B$46:$B$65</c:f>
              <c:numCache>
                <c:formatCode>General</c:formatCode>
                <c:ptCount val="20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  <c:pt idx="11">
                  <c:v>600</c:v>
                </c:pt>
                <c:pt idx="12">
                  <c:v>650</c:v>
                </c:pt>
                <c:pt idx="13">
                  <c:v>700</c:v>
                </c:pt>
                <c:pt idx="14">
                  <c:v>750</c:v>
                </c:pt>
                <c:pt idx="15">
                  <c:v>800</c:v>
                </c:pt>
                <c:pt idx="16">
                  <c:v>850</c:v>
                </c:pt>
                <c:pt idx="17">
                  <c:v>900</c:v>
                </c:pt>
                <c:pt idx="18">
                  <c:v>950</c:v>
                </c:pt>
                <c:pt idx="19">
                  <c:v>1000</c:v>
                </c:pt>
              </c:numCache>
            </c:numRef>
          </c:xVal>
          <c:yVal>
            <c:numRef>
              <c:f>'1'!$S$38:$S$57</c:f>
              <c:numCache>
                <c:formatCode>General</c:formatCode>
                <c:ptCount val="20"/>
                <c:pt idx="0">
                  <c:v>37.167000000000002</c:v>
                </c:pt>
                <c:pt idx="1">
                  <c:v>19.107000000000014</c:v>
                </c:pt>
                <c:pt idx="2">
                  <c:v>11.567000000000007</c:v>
                </c:pt>
                <c:pt idx="3">
                  <c:v>5.3470000000000084</c:v>
                </c:pt>
                <c:pt idx="4">
                  <c:v>3.7770000000000152</c:v>
                </c:pt>
                <c:pt idx="5">
                  <c:v>-0.86299999999998533</c:v>
                </c:pt>
                <c:pt idx="6">
                  <c:v>-6.1429999999999865</c:v>
                </c:pt>
                <c:pt idx="7">
                  <c:v>-6.7729999999999819</c:v>
                </c:pt>
                <c:pt idx="8">
                  <c:v>-7.1329999999999814</c:v>
                </c:pt>
                <c:pt idx="9">
                  <c:v>-6.2329999999999899</c:v>
                </c:pt>
                <c:pt idx="10">
                  <c:v>-6.9529999999999887</c:v>
                </c:pt>
                <c:pt idx="11">
                  <c:v>-5.492999999999995</c:v>
                </c:pt>
                <c:pt idx="12">
                  <c:v>-4.1929999999999836</c:v>
                </c:pt>
                <c:pt idx="13">
                  <c:v>-5.6829999999999927</c:v>
                </c:pt>
                <c:pt idx="14">
                  <c:v>-2.262999999999991</c:v>
                </c:pt>
                <c:pt idx="15">
                  <c:v>-3.6229999999999905</c:v>
                </c:pt>
                <c:pt idx="16">
                  <c:v>-4.0029999999999859</c:v>
                </c:pt>
                <c:pt idx="17">
                  <c:v>-4.6429999999999865</c:v>
                </c:pt>
                <c:pt idx="18">
                  <c:v>-5.1229999999999905</c:v>
                </c:pt>
                <c:pt idx="19">
                  <c:v>-7.8429999999999893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FF-42A2-ADC1-E8A50F508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710864"/>
        <c:axId val="396711648"/>
      </c:scatterChart>
      <c:valAx>
        <c:axId val="396710864"/>
        <c:scaling>
          <c:orientation val="minMax"/>
          <c:max val="1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1648"/>
        <c:crosses val="autoZero"/>
        <c:crossBetween val="midCat"/>
        <c:majorUnit val="100"/>
        <c:minorUnit val="50"/>
      </c:valAx>
      <c:valAx>
        <c:axId val="39671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0864"/>
        <c:crosses val="autoZero"/>
        <c:crossBetween val="midCat"/>
        <c:majorUnit val="5"/>
        <c:minorUnit val="1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41280999157237397"/>
          <c:y val="5.3524904214559389E-2"/>
          <c:w val="0.18734025632607212"/>
          <c:h val="7.901113862618081E-2"/>
        </c:manualLayout>
      </c:layout>
      <c:overlay val="1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8.3925338295181715E-2"/>
          <c:y val="3.9473406681952566E-2"/>
          <c:w val="0.87065257962262466"/>
          <c:h val="0.813584674329501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'Rpt-1'!$B$46:$B$65</c:f>
              <c:numCache>
                <c:formatCode>General</c:formatCode>
                <c:ptCount val="20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  <c:pt idx="11">
                  <c:v>600</c:v>
                </c:pt>
                <c:pt idx="12">
                  <c:v>650</c:v>
                </c:pt>
                <c:pt idx="13">
                  <c:v>700</c:v>
                </c:pt>
                <c:pt idx="14">
                  <c:v>750</c:v>
                </c:pt>
                <c:pt idx="15">
                  <c:v>800</c:v>
                </c:pt>
                <c:pt idx="16">
                  <c:v>850</c:v>
                </c:pt>
                <c:pt idx="17">
                  <c:v>900</c:v>
                </c:pt>
                <c:pt idx="18">
                  <c:v>950</c:v>
                </c:pt>
                <c:pt idx="19">
                  <c:v>1000</c:v>
                </c:pt>
              </c:numCache>
            </c:numRef>
          </c:xVal>
          <c:yVal>
            <c:numRef>
              <c:f>'1'!$V$38:$V$57</c:f>
              <c:numCache>
                <c:formatCode>General</c:formatCode>
                <c:ptCount val="20"/>
                <c:pt idx="0">
                  <c:v>-8.9157604287109464</c:v>
                </c:pt>
                <c:pt idx="1">
                  <c:v>24.576105148694872</c:v>
                </c:pt>
                <c:pt idx="2">
                  <c:v>19.92271529805074</c:v>
                </c:pt>
                <c:pt idx="3">
                  <c:v>14.656347847683222</c:v>
                </c:pt>
                <c:pt idx="4">
                  <c:v>6.7231504804297302</c:v>
                </c:pt>
                <c:pt idx="5">
                  <c:v>0.77530705307870562</c:v>
                </c:pt>
                <c:pt idx="6">
                  <c:v>1.6534543764296643</c:v>
                </c:pt>
                <c:pt idx="7">
                  <c:v>-3.0700981163446031</c:v>
                </c:pt>
                <c:pt idx="8">
                  <c:v>-5.0215337406856406</c:v>
                </c:pt>
                <c:pt idx="9">
                  <c:v>-4.7677364954310164</c:v>
                </c:pt>
                <c:pt idx="10">
                  <c:v>-4.1163740136804918</c:v>
                </c:pt>
                <c:pt idx="11">
                  <c:v>-5.3076357446718774</c:v>
                </c:pt>
                <c:pt idx="12">
                  <c:v>2.9388526886383985</c:v>
                </c:pt>
                <c:pt idx="13">
                  <c:v>-2.2961227115324547</c:v>
                </c:pt>
                <c:pt idx="14">
                  <c:v>-9.4485218219839027</c:v>
                </c:pt>
                <c:pt idx="15">
                  <c:v>1.186585487130472</c:v>
                </c:pt>
                <c:pt idx="16">
                  <c:v>2.8424497755375882</c:v>
                </c:pt>
                <c:pt idx="17">
                  <c:v>-10.319763040654628</c:v>
                </c:pt>
                <c:pt idx="18">
                  <c:v>-9.3916144255693723</c:v>
                </c:pt>
                <c:pt idx="19">
                  <c:v>-12.619807616408352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F1-418A-B557-EC8FD6925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710864"/>
        <c:axId val="396711648"/>
      </c:scatterChart>
      <c:valAx>
        <c:axId val="396710864"/>
        <c:scaling>
          <c:orientation val="minMax"/>
          <c:max val="1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1648"/>
        <c:crosses val="autoZero"/>
        <c:crossBetween val="midCat"/>
        <c:majorUnit val="100"/>
        <c:minorUnit val="50"/>
      </c:valAx>
      <c:valAx>
        <c:axId val="39671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0864"/>
        <c:crosses val="autoZero"/>
        <c:crossBetween val="midCat"/>
        <c:majorUnit val="5"/>
        <c:minorUnit val="1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41280999157237397"/>
          <c:y val="3.89272030651341E-2"/>
          <c:w val="0.18734025632607212"/>
          <c:h val="7.901113862618081E-2"/>
        </c:manualLayout>
      </c:layout>
      <c:overlay val="1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6368812398202202E-2"/>
          <c:y val="5.288007292175935E-2"/>
          <c:w val="0.89881111111111112"/>
          <c:h val="0.805044061302682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D7D31"/>
              </a:solidFill>
              <a:ln w="9525">
                <a:solidFill>
                  <a:srgbClr val="ED7D31"/>
                </a:solidFill>
              </a:ln>
              <a:effectLst/>
            </c:spPr>
          </c:marker>
          <c:xVal>
            <c:numRef>
              <c:f>'Rpt-2'!$B$45:$B$65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'Rpt-2'!$F$45:$F$65</c:f>
              <c:numCache>
                <c:formatCode>0.0</c:formatCode>
                <c:ptCount val="2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67-428A-AE79-E7F8B6736695}"/>
            </c:ext>
          </c:extLst>
        </c:ser>
        <c:ser>
          <c:idx val="1"/>
          <c:order val="1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rgbClr val="5B9BD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B9BD5"/>
              </a:solidFill>
              <a:ln w="9525">
                <a:solidFill>
                  <a:srgbClr val="5B9BD5"/>
                </a:solidFill>
              </a:ln>
              <a:effectLst/>
            </c:spPr>
          </c:marker>
          <c:xVal>
            <c:numRef>
              <c:f>'Rpt-2'!$B$45:$B$65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'Rpt-1'!$F$45:$F$65</c:f>
              <c:numCache>
                <c:formatCode>0.0</c:formatCode>
                <c:ptCount val="21"/>
                <c:pt idx="0" formatCode="General">
                  <c:v>0</c:v>
                </c:pt>
                <c:pt idx="1">
                  <c:v>16.363636363636367</c:v>
                </c:pt>
                <c:pt idx="2">
                  <c:v>19.189765458422176</c:v>
                </c:pt>
                <c:pt idx="3">
                  <c:v>18.386108273748725</c:v>
                </c:pt>
                <c:pt idx="4">
                  <c:v>17.578125000000004</c:v>
                </c:pt>
                <c:pt idx="5">
                  <c:v>16.728624535315987</c:v>
                </c:pt>
                <c:pt idx="6">
                  <c:v>15.873015873015875</c:v>
                </c:pt>
                <c:pt idx="7">
                  <c:v>15.693112467306017</c:v>
                </c:pt>
                <c:pt idx="8">
                  <c:v>15.15151515151515</c:v>
                </c:pt>
                <c:pt idx="9">
                  <c:v>14.913007456503729</c:v>
                </c:pt>
                <c:pt idx="10">
                  <c:v>14.987510407993339</c:v>
                </c:pt>
                <c:pt idx="11">
                  <c:v>15.025041736227045</c:v>
                </c:pt>
                <c:pt idx="12">
                  <c:v>14.962593516209473</c:v>
                </c:pt>
                <c:pt idx="13">
                  <c:v>15.929203539823009</c:v>
                </c:pt>
                <c:pt idx="14">
                  <c:v>15.293118096856414</c:v>
                </c:pt>
                <c:pt idx="15">
                  <c:v>14.622258326563772</c:v>
                </c:pt>
                <c:pt idx="16">
                  <c:v>15.77563540753725</c:v>
                </c:pt>
                <c:pt idx="17">
                  <c:v>15.929203539823009</c:v>
                </c:pt>
                <c:pt idx="18">
                  <c:v>14.4</c:v>
                </c:pt>
                <c:pt idx="19">
                  <c:v>14.492753623188406</c:v>
                </c:pt>
                <c:pt idx="20">
                  <c:v>13.953488372093023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67-428A-AE79-E7F8B6736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29848"/>
        <c:axId val="229531808"/>
      </c:scatterChart>
      <c:valAx>
        <c:axId val="229529848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1808"/>
        <c:crosses val="autoZero"/>
        <c:crossBetween val="midCat"/>
        <c:majorUnit val="100"/>
        <c:minorUnit val="50"/>
      </c:valAx>
      <c:valAx>
        <c:axId val="229531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29848"/>
        <c:crosses val="autoZero"/>
        <c:crossBetween val="midCat"/>
        <c:majorUnit val="1"/>
        <c:minorUnit val="0.5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28295197235954095"/>
          <c:y val="5.3524904214559389E-2"/>
          <c:w val="0.43645766994736146"/>
          <c:h val="8.2926563129381375E-2"/>
        </c:manualLayout>
      </c:layout>
      <c:overlay val="1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4574063604399471E-2"/>
          <c:y val="5.288007292175935E-2"/>
          <c:w val="0.90005555555555561"/>
          <c:h val="0.8099099616858237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'2'!$D$17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'Rpt-2'!$B$45:$B$65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'Rpt-2'!$H$45:$H$65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94-4169-9E17-B2B21E78389D}"/>
            </c:ext>
          </c:extLst>
        </c:ser>
        <c:ser>
          <c:idx val="0"/>
          <c:order val="1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'Rpt-2'!$B$45:$B$65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'Rpt-1'!$H$45:$H$65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142.47999999999999</c:v>
                </c:pt>
                <c:pt idx="2">
                  <c:v>124.42</c:v>
                </c:pt>
                <c:pt idx="3">
                  <c:v>116.88</c:v>
                </c:pt>
                <c:pt idx="4">
                  <c:v>110.66</c:v>
                </c:pt>
                <c:pt idx="5">
                  <c:v>109.09</c:v>
                </c:pt>
                <c:pt idx="6">
                  <c:v>104.45</c:v>
                </c:pt>
                <c:pt idx="7">
                  <c:v>99.17</c:v>
                </c:pt>
                <c:pt idx="8">
                  <c:v>98.54</c:v>
                </c:pt>
                <c:pt idx="9">
                  <c:v>98.18</c:v>
                </c:pt>
                <c:pt idx="10">
                  <c:v>99.08</c:v>
                </c:pt>
                <c:pt idx="11">
                  <c:v>98.36</c:v>
                </c:pt>
                <c:pt idx="12">
                  <c:v>99.82</c:v>
                </c:pt>
                <c:pt idx="13">
                  <c:v>101.12</c:v>
                </c:pt>
                <c:pt idx="14">
                  <c:v>99.63</c:v>
                </c:pt>
                <c:pt idx="15">
                  <c:v>103.05</c:v>
                </c:pt>
                <c:pt idx="16">
                  <c:v>101.69</c:v>
                </c:pt>
                <c:pt idx="17">
                  <c:v>101.31</c:v>
                </c:pt>
                <c:pt idx="18">
                  <c:v>100.67</c:v>
                </c:pt>
                <c:pt idx="19">
                  <c:v>100.19</c:v>
                </c:pt>
                <c:pt idx="20">
                  <c:v>97.47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94-4169-9E17-B2B21E783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710864"/>
        <c:axId val="396711648"/>
      </c:scatterChart>
      <c:valAx>
        <c:axId val="396710864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1648"/>
        <c:crosses val="autoZero"/>
        <c:crossBetween val="midCat"/>
        <c:majorUnit val="100"/>
        <c:minorUnit val="50"/>
      </c:valAx>
      <c:valAx>
        <c:axId val="396711648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0864"/>
        <c:crosses val="autoZero"/>
        <c:crossBetween val="midCat"/>
        <c:majorUnit val="5"/>
        <c:minorUnit val="1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28295197235954095"/>
          <c:y val="4.8659003831417622E-2"/>
          <c:w val="0.43659596716491478"/>
          <c:h val="8.2914339568331968E-2"/>
        </c:manualLayout>
      </c:layout>
      <c:overlay val="0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9528437750319916E-2"/>
          <c:y val="5.288007292175935E-2"/>
          <c:w val="0.90113592085235916"/>
          <c:h val="0.8099099616858237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'2'!$D$17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'Rpt-2'!$B$45:$B$65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'Rpt-2'!$I$45:$I$65</c:f>
              <c:numCache>
                <c:formatCode>0.0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D8-4509-BAEF-DAD23CC93727}"/>
            </c:ext>
          </c:extLst>
        </c:ser>
        <c:ser>
          <c:idx val="0"/>
          <c:order val="1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'Rpt-2'!$B$45:$B$65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'Rpt-1'!$I$45:$I$65</c:f>
              <c:numCache>
                <c:formatCode>0.0</c:formatCode>
                <c:ptCount val="21"/>
                <c:pt idx="1">
                  <c:v>39.548434915509787</c:v>
                </c:pt>
                <c:pt idx="2">
                  <c:v>73.040300492915605</c:v>
                </c:pt>
                <c:pt idx="3">
                  <c:v>68.386910642271474</c:v>
                </c:pt>
                <c:pt idx="4">
                  <c:v>63.120543191903955</c:v>
                </c:pt>
                <c:pt idx="5">
                  <c:v>55.187345824650464</c:v>
                </c:pt>
                <c:pt idx="6">
                  <c:v>49.239502397299439</c:v>
                </c:pt>
                <c:pt idx="7">
                  <c:v>50.117649720650398</c:v>
                </c:pt>
                <c:pt idx="8">
                  <c:v>45.394097227876131</c:v>
                </c:pt>
                <c:pt idx="9">
                  <c:v>43.442661603535093</c:v>
                </c:pt>
                <c:pt idx="10">
                  <c:v>43.696458848789717</c:v>
                </c:pt>
                <c:pt idx="11">
                  <c:v>44.347821330540242</c:v>
                </c:pt>
                <c:pt idx="12">
                  <c:v>43.156559599548856</c:v>
                </c:pt>
                <c:pt idx="13">
                  <c:v>51.403048032859132</c:v>
                </c:pt>
                <c:pt idx="14">
                  <c:v>46.168072632688279</c:v>
                </c:pt>
                <c:pt idx="15">
                  <c:v>39.015673522236831</c:v>
                </c:pt>
                <c:pt idx="16">
                  <c:v>49.650780831351206</c:v>
                </c:pt>
                <c:pt idx="17">
                  <c:v>51.306645119758322</c:v>
                </c:pt>
                <c:pt idx="18">
                  <c:v>38.144432303566106</c:v>
                </c:pt>
                <c:pt idx="19">
                  <c:v>39.072580918651362</c:v>
                </c:pt>
                <c:pt idx="20">
                  <c:v>35.844387727812382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D8-4509-BAEF-DAD23CC93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710864"/>
        <c:axId val="396711648"/>
      </c:scatterChart>
      <c:valAx>
        <c:axId val="396710864"/>
        <c:scaling>
          <c:orientation val="minMax"/>
          <c:max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1648"/>
        <c:crosses val="autoZero"/>
        <c:crossBetween val="midCat"/>
        <c:majorUnit val="100"/>
        <c:minorUnit val="50"/>
      </c:valAx>
      <c:valAx>
        <c:axId val="39671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0864"/>
        <c:crosses val="autoZero"/>
        <c:crossBetween val="midCat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28295197235954095"/>
          <c:y val="4.8659003831417622E-2"/>
          <c:w val="0.43659596716491478"/>
          <c:h val="8.2926531041826609E-2"/>
        </c:manualLayout>
      </c:layout>
      <c:overlay val="1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'Rpt-2'!$J$71:$J$72</c:f>
          <c:strCache>
            <c:ptCount val="2"/>
            <c:pt idx="0">
              <c:v>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'2'!$D$17</c:f>
              <c:strCache>
                <c:ptCount val="1"/>
                <c:pt idx="0">
                  <c:v>A Final</c:v>
                </c:pt>
              </c:strCache>
            </c:strRef>
          </c:tx>
          <c:invertIfNegative val="0"/>
          <c:cat>
            <c:numRef>
              <c:f>'Rpt-1'!$A$75:$A$78</c:f>
              <c:numCache>
                <c:formatCode>General</c:formatCode>
                <c:ptCount val="4"/>
                <c:pt idx="0">
                  <c:v>250</c:v>
                </c:pt>
                <c:pt idx="1">
                  <c:v>500</c:v>
                </c:pt>
                <c:pt idx="2">
                  <c:v>750</c:v>
                </c:pt>
                <c:pt idx="3">
                  <c:v>1000</c:v>
                </c:pt>
              </c:numCache>
            </c:numRef>
          </c:cat>
          <c:val>
            <c:numRef>
              <c:f>'Rpt-2'!$J$75:$J$78</c:f>
              <c:numCache>
                <c:formatCode>m:ss.00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80-4EB5-9C30-5573EEF76467}"/>
            </c:ext>
          </c:extLst>
        </c:ser>
        <c:ser>
          <c:idx val="0"/>
          <c:order val="1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'Rpt-1'!$A$75:$A$78</c:f>
              <c:numCache>
                <c:formatCode>General</c:formatCode>
                <c:ptCount val="4"/>
                <c:pt idx="0">
                  <c:v>250</c:v>
                </c:pt>
                <c:pt idx="1">
                  <c:v>500</c:v>
                </c:pt>
                <c:pt idx="2">
                  <c:v>750</c:v>
                </c:pt>
                <c:pt idx="3">
                  <c:v>1000</c:v>
                </c:pt>
              </c:numCache>
            </c:numRef>
          </c:cat>
          <c:val>
            <c:numRef>
              <c:f>'Rpt-1'!$J$75:$J$78</c:f>
              <c:numCache>
                <c:formatCode>m:ss.00</c:formatCode>
                <c:ptCount val="4"/>
                <c:pt idx="0">
                  <c:v>2.3699074074074074E-3</c:v>
                </c:pt>
                <c:pt idx="1">
                  <c:v>2.7208333333333329E-3</c:v>
                </c:pt>
                <c:pt idx="2">
                  <c:v>2.7495370370370373E-3</c:v>
                </c:pt>
                <c:pt idx="3">
                  <c:v>2.8023148148148148E-3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80-4EB5-9C30-5573EEF76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8609375"/>
        <c:axId val="559917375"/>
      </c:barChart>
      <c:catAx>
        <c:axId val="868609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17375"/>
        <c:crosses val="autoZero"/>
        <c:auto val="1"/>
        <c:lblAlgn val="ctr"/>
        <c:lblOffset val="100"/>
        <c:noMultiLvlLbl val="0"/>
      </c:catAx>
      <c:valAx>
        <c:axId val="559917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:ss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60937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769704029344371E-2"/>
          <c:y val="5.288007292175935E-2"/>
          <c:w val="0.82254813323736642"/>
          <c:h val="0.80047279781734371"/>
        </c:manualLayout>
      </c:layout>
      <c:scatterChart>
        <c:scatterStyle val="smoothMarker"/>
        <c:varyColors val="0"/>
        <c:ser>
          <c:idx val="0"/>
          <c:order val="0"/>
          <c:tx>
            <c:v>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'Rpt-2'!$B$45:$B$65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'Rpt-2'!$F$45:$F$65</c:f>
              <c:numCache>
                <c:formatCode>0.0</c:formatCode>
                <c:ptCount val="2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0C-447C-81EF-F2AEA9777927}"/>
            </c:ext>
          </c:extLst>
        </c:ser>
        <c:ser>
          <c:idx val="2"/>
          <c:order val="2"/>
          <c:tx>
            <c:v>WB Vel</c:v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6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A457-44FE-A603-69F45F576651}"/>
              </c:ext>
            </c:extLst>
          </c:dPt>
          <c:xVal>
            <c:numRef>
              <c:f>'Rpt-2'!$N$15:$N$16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'Rpt-2'!$Q$15:$Q$16</c:f>
              <c:numCache>
                <c:formatCode>General</c:formatCode>
                <c:ptCount val="2"/>
                <c:pt idx="0">
                  <c:v>17.374286779494962</c:v>
                </c:pt>
                <c:pt idx="1">
                  <c:v>17.374286779494962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0C-447C-81EF-F2AEA9777927}"/>
            </c:ext>
          </c:extLst>
        </c:ser>
        <c:ser>
          <c:idx val="3"/>
          <c:order val="3"/>
          <c:tx>
            <c:v>Win Vel</c:v>
          </c:tx>
          <c:spPr>
            <a:ln w="19050" cap="rnd">
              <a:solidFill>
                <a:srgbClr val="FF33CC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'Rpt-2'!$N$15:$N$16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'Rpt-2'!$S$15:$S$16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0C-447C-81EF-F2AEA9777927}"/>
            </c:ext>
          </c:extLst>
        </c:ser>
        <c:ser>
          <c:idx val="4"/>
          <c:order val="4"/>
          <c:tx>
            <c:v>Av Vel</c:v>
          </c:tx>
          <c:spPr>
            <a:ln w="19050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'Rpt-2'!$N$15:$N$16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'Rpt-2'!$U$15:$U$16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0C-447C-81EF-F2AEA9777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29456"/>
        <c:axId val="229531024"/>
      </c:scatterChart>
      <c:scatterChart>
        <c:scatterStyle val="smoothMarker"/>
        <c:varyColors val="0"/>
        <c:ser>
          <c:idx val="1"/>
          <c:order val="1"/>
          <c:tx>
            <c:v>Str Rte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'Rpt-2'!$B$45:$B$65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'Rpt-2'!$H$45:$H$65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70C-447C-81EF-F2AEA9777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27496"/>
        <c:axId val="229534552"/>
      </c:scatterChart>
      <c:valAx>
        <c:axId val="22952945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1024"/>
        <c:crosses val="autoZero"/>
        <c:crossBetween val="midCat"/>
        <c:majorUnit val="100"/>
        <c:minorUnit val="50"/>
      </c:valAx>
      <c:valAx>
        <c:axId val="22953102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Vel (km/hr)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29456"/>
        <c:crosses val="autoZero"/>
        <c:crossBetween val="midCat"/>
        <c:majorUnit val="1"/>
        <c:minorUnit val="0.5"/>
      </c:valAx>
      <c:valAx>
        <c:axId val="229534552"/>
        <c:scaling>
          <c:orientation val="minMax"/>
          <c:max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 Rte (s/min)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27496"/>
        <c:crosses val="max"/>
        <c:crossBetween val="midCat"/>
        <c:majorUnit val="5"/>
        <c:minorUnit val="1"/>
      </c:valAx>
      <c:valAx>
        <c:axId val="229527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9534552"/>
        <c:crosses val="autoZero"/>
        <c:crossBetween val="midCat"/>
      </c:valAx>
      <c:spPr>
        <a:solidFill>
          <a:schemeClr val="bg1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3298247258426123"/>
          <c:y val="5.1222933500925043E-2"/>
          <c:w val="0.57078849869087545"/>
          <c:h val="5.8989179234192668E-2"/>
        </c:manualLayout>
      </c:layout>
      <c:overlay val="0"/>
      <c:spPr>
        <a:solidFill>
          <a:schemeClr val="bg1"/>
        </a:solidFill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3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'Rpt-2'!$J$82:$J$83</c:f>
          <c:strCache>
            <c:ptCount val="2"/>
            <c:pt idx="0">
              <c:v>Pace per 250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'2'!$D$17</c:f>
              <c:strCache>
                <c:ptCount val="1"/>
                <c:pt idx="0">
                  <c:v>A Final</c:v>
                </c:pt>
              </c:strCache>
            </c:strRef>
          </c:tx>
          <c:invertIfNegative val="0"/>
          <c:cat>
            <c:strRef>
              <c:f>'Rpt-2'!$A$75:$A$78</c:f>
              <c:strCache>
                <c:ptCount val="4"/>
                <c:pt idx="0">
                  <c:v>150</c:v>
                </c:pt>
                <c:pt idx="1">
                  <c:v>200</c:v>
                </c:pt>
                <c:pt idx="2">
                  <c:v> </c:v>
                </c:pt>
                <c:pt idx="3">
                  <c:v> </c:v>
                </c:pt>
              </c:strCache>
            </c:strRef>
          </c:cat>
          <c:val>
            <c:numRef>
              <c:f>'Rpt-2'!$Q$19:$Q$22</c:f>
              <c:numCache>
                <c:formatCode>0.00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63-4574-A7F4-75F3248C5167}"/>
            </c:ext>
          </c:extLst>
        </c:ser>
        <c:ser>
          <c:idx val="0"/>
          <c:order val="1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'Rpt-2'!$A$75:$A$78</c:f>
              <c:strCache>
                <c:ptCount val="4"/>
                <c:pt idx="0">
                  <c:v>150</c:v>
                </c:pt>
                <c:pt idx="1">
                  <c:v>200</c:v>
                </c:pt>
                <c:pt idx="2">
                  <c:v> </c:v>
                </c:pt>
                <c:pt idx="3">
                  <c:v> </c:v>
                </c:pt>
              </c:strCache>
            </c:strRef>
          </c:cat>
          <c:val>
            <c:numRef>
              <c:f>'Rpt-1'!$Q$19:$Q$22</c:f>
              <c:numCache>
                <c:formatCode>0.00</c:formatCode>
                <c:ptCount val="4"/>
                <c:pt idx="0">
                  <c:v>-6.2800000000000011</c:v>
                </c:pt>
                <c:pt idx="1">
                  <c:v>1.2999999999999901</c:v>
                </c:pt>
                <c:pt idx="2">
                  <c:v>1.9200000000000088</c:v>
                </c:pt>
                <c:pt idx="3">
                  <c:v>3.0600000000000023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63-4574-A7F4-75F3248C5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8609375"/>
        <c:axId val="559917375"/>
      </c:barChart>
      <c:catAx>
        <c:axId val="868609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17375"/>
        <c:crosses val="autoZero"/>
        <c:auto val="1"/>
        <c:lblAlgn val="ctr"/>
        <c:lblOffset val="100"/>
        <c:noMultiLvlLbl val="0"/>
      </c:catAx>
      <c:valAx>
        <c:axId val="559917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60937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9769704029344371E-2"/>
          <c:y val="5.7451344068790648E-2"/>
          <c:w val="0.89257061534505888"/>
          <c:h val="0.8053386973180076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'2'!$D$17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'Rpt-2'!$B$46:$B$65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'2'!$R$38:$R$57</c:f>
              <c:numCache>
                <c:formatCode>0.0</c:formatCode>
                <c:ptCount val="20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40-44F5-9F97-2DAFB8DF1851}"/>
            </c:ext>
          </c:extLst>
        </c:ser>
        <c:ser>
          <c:idx val="0"/>
          <c:order val="1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'Rpt-2'!$B$46:$B$65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'1'!$R$38:$R$57</c:f>
              <c:numCache>
                <c:formatCode>0.0</c:formatCode>
                <c:ptCount val="20"/>
                <c:pt idx="0" formatCode="General">
                  <c:v>0.1670140295409519</c:v>
                </c:pt>
                <c:pt idx="1">
                  <c:v>0.9520498892036775</c:v>
                </c:pt>
                <c:pt idx="2" formatCode="General">
                  <c:v>0.72881178234994071</c:v>
                </c:pt>
                <c:pt idx="3" formatCode="General">
                  <c:v>0.50437198408640693</c:v>
                </c:pt>
                <c:pt idx="4" formatCode="General">
                  <c:v>0.26839963278529133</c:v>
                </c:pt>
                <c:pt idx="5" formatCode="General">
                  <c:v>3.073055992414897E-2</c:v>
                </c:pt>
                <c:pt idx="6" formatCode="General">
                  <c:v>-1.9242608328589483E-2</c:v>
                </c:pt>
                <c:pt idx="7" formatCode="General">
                  <c:v>-0.16968630715938549</c:v>
                </c:pt>
                <c:pt idx="8" formatCode="General">
                  <c:v>-0.23593844466255831</c:v>
                </c:pt>
                <c:pt idx="9" formatCode="General">
                  <c:v>-0.21524318035988887</c:v>
                </c:pt>
                <c:pt idx="10" formatCode="General">
                  <c:v>-0.20481781140608124</c:v>
                </c:pt>
                <c:pt idx="11" formatCode="General">
                  <c:v>-0.22216453918874013</c:v>
                </c:pt>
                <c:pt idx="12" formatCode="General">
                  <c:v>4.6338245148352719E-2</c:v>
                </c:pt>
                <c:pt idx="13" formatCode="General">
                  <c:v>-0.13035215567570102</c:v>
                </c:pt>
                <c:pt idx="14" formatCode="General">
                  <c:v>-0.31670209186810183</c:v>
                </c:pt>
                <c:pt idx="15" formatCode="General">
                  <c:v>3.6804306245308283E-3</c:v>
                </c:pt>
                <c:pt idx="16" formatCode="General">
                  <c:v>4.6338245148352719E-2</c:v>
                </c:pt>
                <c:pt idx="17" formatCode="General">
                  <c:v>-0.37844051591359396</c:v>
                </c:pt>
                <c:pt idx="18" formatCode="General">
                  <c:v>-0.35267562058348112</c:v>
                </c:pt>
                <c:pt idx="19" formatCode="General">
                  <c:v>-0.50247152366553216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40-44F5-9F97-2DAFB8DF1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29848"/>
        <c:axId val="229531808"/>
      </c:scatterChart>
      <c:valAx>
        <c:axId val="229529848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1808"/>
        <c:crosses val="autoZero"/>
        <c:crossBetween val="midCat"/>
        <c:majorUnit val="100"/>
        <c:minorUnit val="50"/>
      </c:valAx>
      <c:valAx>
        <c:axId val="22953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29848"/>
        <c:crosses val="autoZero"/>
        <c:crossBetween val="midCat"/>
        <c:majorUnit val="0.4"/>
        <c:minorUnit val="0.1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28241444577996988"/>
          <c:y val="5.3524904214559389E-2"/>
          <c:w val="0.43886729254271201"/>
          <c:h val="8.2914339568331968E-2"/>
        </c:manualLayout>
      </c:layout>
      <c:overlay val="0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9769704029344371E-2"/>
          <c:y val="5.4550472821780001E-2"/>
          <c:w val="0.89257061534505888"/>
          <c:h val="0.8033735632183908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'2'!$D$17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'Rpt-2'!$B$46:$B$65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'2'!$S$38:$S$57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C-4EF5-9EF9-A3423BED9751}"/>
            </c:ext>
          </c:extLst>
        </c:ser>
        <c:ser>
          <c:idx val="0"/>
          <c:order val="1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'Rpt-2'!$B$46:$B$65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'1'!$S$38:$S$57</c:f>
              <c:numCache>
                <c:formatCode>General</c:formatCode>
                <c:ptCount val="20"/>
                <c:pt idx="0">
                  <c:v>37.167000000000002</c:v>
                </c:pt>
                <c:pt idx="1">
                  <c:v>19.107000000000014</c:v>
                </c:pt>
                <c:pt idx="2">
                  <c:v>11.567000000000007</c:v>
                </c:pt>
                <c:pt idx="3">
                  <c:v>5.3470000000000084</c:v>
                </c:pt>
                <c:pt idx="4">
                  <c:v>3.7770000000000152</c:v>
                </c:pt>
                <c:pt idx="5">
                  <c:v>-0.86299999999998533</c:v>
                </c:pt>
                <c:pt idx="6">
                  <c:v>-6.1429999999999865</c:v>
                </c:pt>
                <c:pt idx="7">
                  <c:v>-6.7729999999999819</c:v>
                </c:pt>
                <c:pt idx="8">
                  <c:v>-7.1329999999999814</c:v>
                </c:pt>
                <c:pt idx="9">
                  <c:v>-6.2329999999999899</c:v>
                </c:pt>
                <c:pt idx="10">
                  <c:v>-6.9529999999999887</c:v>
                </c:pt>
                <c:pt idx="11">
                  <c:v>-5.492999999999995</c:v>
                </c:pt>
                <c:pt idx="12">
                  <c:v>-4.1929999999999836</c:v>
                </c:pt>
                <c:pt idx="13">
                  <c:v>-5.6829999999999927</c:v>
                </c:pt>
                <c:pt idx="14">
                  <c:v>-2.262999999999991</c:v>
                </c:pt>
                <c:pt idx="15">
                  <c:v>-3.6229999999999905</c:v>
                </c:pt>
                <c:pt idx="16">
                  <c:v>-4.0029999999999859</c:v>
                </c:pt>
                <c:pt idx="17">
                  <c:v>-4.6429999999999865</c:v>
                </c:pt>
                <c:pt idx="18">
                  <c:v>-5.1229999999999905</c:v>
                </c:pt>
                <c:pt idx="19">
                  <c:v>-7.8429999999999893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C-4EF5-9EF9-A3423BED9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710864"/>
        <c:axId val="396711648"/>
      </c:scatterChart>
      <c:valAx>
        <c:axId val="396710864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1648"/>
        <c:crosses val="autoZero"/>
        <c:crossBetween val="midCat"/>
        <c:majorUnit val="100"/>
        <c:minorUnit val="50"/>
      </c:valAx>
      <c:valAx>
        <c:axId val="39671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0864"/>
        <c:crosses val="autoZero"/>
        <c:crossBetween val="midCat"/>
        <c:majorUnit val="5"/>
        <c:minorUnit val="1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28241444577996988"/>
          <c:y val="5.3524904214559389E-2"/>
          <c:w val="0.43886729254271201"/>
          <c:h val="8.2926563129381375E-2"/>
        </c:manualLayout>
      </c:layout>
      <c:overlay val="0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9769704029344371E-2"/>
          <c:y val="3.9473406681952566E-2"/>
          <c:w val="0.89257061534505888"/>
          <c:h val="0.81845057471264349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'2'!$D$17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'Rpt-2'!$B$46:$B$65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'2'!$V$38:$V$57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E0-402D-AA08-C4C8FA00AF2F}"/>
            </c:ext>
          </c:extLst>
        </c:ser>
        <c:ser>
          <c:idx val="0"/>
          <c:order val="1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'Rpt-2'!$B$46:$B$65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'1'!$V$38:$V$57</c:f>
              <c:numCache>
                <c:formatCode>General</c:formatCode>
                <c:ptCount val="20"/>
                <c:pt idx="0">
                  <c:v>-8.9157604287109464</c:v>
                </c:pt>
                <c:pt idx="1">
                  <c:v>24.576105148694872</c:v>
                </c:pt>
                <c:pt idx="2">
                  <c:v>19.92271529805074</c:v>
                </c:pt>
                <c:pt idx="3">
                  <c:v>14.656347847683222</c:v>
                </c:pt>
                <c:pt idx="4">
                  <c:v>6.7231504804297302</c:v>
                </c:pt>
                <c:pt idx="5">
                  <c:v>0.77530705307870562</c:v>
                </c:pt>
                <c:pt idx="6">
                  <c:v>1.6534543764296643</c:v>
                </c:pt>
                <c:pt idx="7">
                  <c:v>-3.0700981163446031</c:v>
                </c:pt>
                <c:pt idx="8">
                  <c:v>-5.0215337406856406</c:v>
                </c:pt>
                <c:pt idx="9">
                  <c:v>-4.7677364954310164</c:v>
                </c:pt>
                <c:pt idx="10">
                  <c:v>-4.1163740136804918</c:v>
                </c:pt>
                <c:pt idx="11">
                  <c:v>-5.3076357446718774</c:v>
                </c:pt>
                <c:pt idx="12">
                  <c:v>2.9388526886383985</c:v>
                </c:pt>
                <c:pt idx="13">
                  <c:v>-2.2961227115324547</c:v>
                </c:pt>
                <c:pt idx="14">
                  <c:v>-9.4485218219839027</c:v>
                </c:pt>
                <c:pt idx="15">
                  <c:v>1.186585487130472</c:v>
                </c:pt>
                <c:pt idx="16">
                  <c:v>2.8424497755375882</c:v>
                </c:pt>
                <c:pt idx="17">
                  <c:v>-10.319763040654628</c:v>
                </c:pt>
                <c:pt idx="18">
                  <c:v>-9.3916144255693723</c:v>
                </c:pt>
                <c:pt idx="19">
                  <c:v>-12.619807616408352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E0-402D-AA08-C4C8FA00A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710864"/>
        <c:axId val="396711648"/>
      </c:scatterChart>
      <c:valAx>
        <c:axId val="396710864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1648"/>
        <c:crosses val="autoZero"/>
        <c:crossBetween val="midCat"/>
        <c:majorUnit val="100"/>
        <c:minorUnit val="50"/>
      </c:valAx>
      <c:valAx>
        <c:axId val="39671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0864"/>
        <c:crosses val="autoZero"/>
        <c:crossBetween val="midCat"/>
        <c:majorUnit val="5"/>
        <c:minorUnit val="1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28241444577996988"/>
          <c:y val="3.89272030651341E-2"/>
          <c:w val="0.43886729254271201"/>
          <c:h val="8.2914307490236067E-2"/>
        </c:manualLayout>
      </c:layout>
      <c:overlay val="0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769704029344371E-2"/>
          <c:y val="5.288007292175935E-2"/>
          <c:w val="0.82254813323736642"/>
          <c:h val="0.80047279781734371"/>
        </c:manualLayout>
      </c:layout>
      <c:scatterChart>
        <c:scatterStyle val="smoothMarker"/>
        <c:varyColors val="0"/>
        <c:ser>
          <c:idx val="0"/>
          <c:order val="0"/>
          <c:tx>
            <c:v>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'Rpt-3'!$B$45:$B$65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'Rpt-3'!$F$45:$F$65</c:f>
              <c:numCache>
                <c:formatCode>0.0</c:formatCode>
                <c:ptCount val="2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6A-4424-9A96-FB034995D6AB}"/>
            </c:ext>
          </c:extLst>
        </c:ser>
        <c:ser>
          <c:idx val="2"/>
          <c:order val="2"/>
          <c:tx>
            <c:v>WB Vel</c:v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'Rpt-3'!$N$15:$N$16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'Rpt-3'!$Q$15:$Q$16</c:f>
              <c:numCache>
                <c:formatCode>General</c:formatCode>
                <c:ptCount val="2"/>
                <c:pt idx="0">
                  <c:v>17.374286779494962</c:v>
                </c:pt>
                <c:pt idx="1">
                  <c:v>17.374286779494962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6A-4424-9A96-FB034995D6AB}"/>
            </c:ext>
          </c:extLst>
        </c:ser>
        <c:ser>
          <c:idx val="3"/>
          <c:order val="3"/>
          <c:tx>
            <c:v>Win Vel</c:v>
          </c:tx>
          <c:spPr>
            <a:ln w="19050" cap="rnd">
              <a:solidFill>
                <a:srgbClr val="FF33CC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'Rpt-3'!$N$15:$N$16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'Rpt-3'!$S$15:$S$16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6A-4424-9A96-FB034995D6AB}"/>
            </c:ext>
          </c:extLst>
        </c:ser>
        <c:ser>
          <c:idx val="4"/>
          <c:order val="4"/>
          <c:tx>
            <c:v>Av Vel</c:v>
          </c:tx>
          <c:spPr>
            <a:ln w="19050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'Rpt-3'!$N$15:$N$16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'Rpt-3'!$U$15:$U$16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6A-4424-9A96-FB034995D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29456"/>
        <c:axId val="229531024"/>
      </c:scatterChart>
      <c:scatterChart>
        <c:scatterStyle val="smoothMarker"/>
        <c:varyColors val="0"/>
        <c:ser>
          <c:idx val="1"/>
          <c:order val="1"/>
          <c:tx>
            <c:v>Str Rte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'Rpt-3'!$B$45:$B$65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'Rpt-3'!$H$45:$H$65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26A-4424-9A96-FB034995D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27496"/>
        <c:axId val="229534552"/>
      </c:scatterChart>
      <c:valAx>
        <c:axId val="229529456"/>
        <c:scaling>
          <c:orientation val="minMax"/>
          <c:max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1024"/>
        <c:crosses val="autoZero"/>
        <c:crossBetween val="midCat"/>
        <c:majorUnit val="100"/>
        <c:minorUnit val="50"/>
      </c:valAx>
      <c:valAx>
        <c:axId val="22953102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Vel (km/hr)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29456"/>
        <c:crosses val="autoZero"/>
        <c:crossBetween val="midCat"/>
        <c:majorUnit val="1"/>
        <c:minorUnit val="0.5"/>
      </c:valAx>
      <c:valAx>
        <c:axId val="229534552"/>
        <c:scaling>
          <c:orientation val="minMax"/>
          <c:max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 Rte (s/min)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27496"/>
        <c:crosses val="max"/>
        <c:crossBetween val="midCat"/>
        <c:majorUnit val="5"/>
        <c:minorUnit val="1"/>
      </c:valAx>
      <c:valAx>
        <c:axId val="229527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9534552"/>
        <c:crosses val="autoZero"/>
        <c:crossBetween val="midCat"/>
      </c:valAx>
      <c:spPr>
        <a:solidFill>
          <a:schemeClr val="bg1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32983817770392698"/>
          <c:y val="5.502033175639047E-2"/>
          <c:w val="0.57078849869087545"/>
          <c:h val="5.8989179234192668E-2"/>
        </c:manualLayout>
      </c:layout>
      <c:overlay val="0"/>
      <c:spPr>
        <a:solidFill>
          <a:schemeClr val="bg1"/>
        </a:solidFill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3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6368812398202202E-2"/>
          <c:y val="5.288007292175935E-2"/>
          <c:w val="0.85676106631312166"/>
          <c:h val="0.791176004475579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'3'!$D$17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rgbClr val="70AD4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AD47"/>
              </a:solidFill>
              <a:ln w="9525">
                <a:solidFill>
                  <a:srgbClr val="70AD47"/>
                </a:solidFill>
              </a:ln>
              <a:effectLst/>
            </c:spPr>
          </c:marker>
          <c:xVal>
            <c:numRef>
              <c:f>'Rpt-3'!$B$45:$B$65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'Rpt-3'!$F$45:$F$65</c:f>
              <c:numCache>
                <c:formatCode>0.0</c:formatCode>
                <c:ptCount val="2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AB4-442B-BE87-72DE538DF8BD}"/>
            </c:ext>
          </c:extLst>
        </c:ser>
        <c:ser>
          <c:idx val="0"/>
          <c:order val="1"/>
          <c:tx>
            <c:strRef>
              <c:f>'2'!$D$17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D7D31"/>
              </a:solidFill>
              <a:ln w="9525">
                <a:solidFill>
                  <a:srgbClr val="ED7D31"/>
                </a:solidFill>
              </a:ln>
              <a:effectLst/>
            </c:spPr>
          </c:marker>
          <c:xVal>
            <c:numRef>
              <c:f>'Rpt-2'!$B$45:$B$65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'Rpt-2'!$F$45:$F$65</c:f>
              <c:numCache>
                <c:formatCode>0.0</c:formatCode>
                <c:ptCount val="2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B4-442B-BE87-72DE538DF8BD}"/>
            </c:ext>
          </c:extLst>
        </c:ser>
        <c:ser>
          <c:idx val="1"/>
          <c:order val="2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rgbClr val="5B9BD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B9BD5"/>
              </a:solidFill>
              <a:ln w="9525">
                <a:solidFill>
                  <a:srgbClr val="5B9BD5"/>
                </a:solidFill>
              </a:ln>
              <a:effectLst/>
            </c:spPr>
          </c:marker>
          <c:xVal>
            <c:numRef>
              <c:f>'Rpt-3'!$B$45:$B$65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'Rpt-1'!$F$45:$F$65</c:f>
              <c:numCache>
                <c:formatCode>0.0</c:formatCode>
                <c:ptCount val="21"/>
                <c:pt idx="0" formatCode="General">
                  <c:v>0</c:v>
                </c:pt>
                <c:pt idx="1">
                  <c:v>16.363636363636367</c:v>
                </c:pt>
                <c:pt idx="2">
                  <c:v>19.189765458422176</c:v>
                </c:pt>
                <c:pt idx="3">
                  <c:v>18.386108273748725</c:v>
                </c:pt>
                <c:pt idx="4">
                  <c:v>17.578125000000004</c:v>
                </c:pt>
                <c:pt idx="5">
                  <c:v>16.728624535315987</c:v>
                </c:pt>
                <c:pt idx="6">
                  <c:v>15.873015873015875</c:v>
                </c:pt>
                <c:pt idx="7">
                  <c:v>15.693112467306017</c:v>
                </c:pt>
                <c:pt idx="8">
                  <c:v>15.15151515151515</c:v>
                </c:pt>
                <c:pt idx="9">
                  <c:v>14.913007456503729</c:v>
                </c:pt>
                <c:pt idx="10">
                  <c:v>14.987510407993339</c:v>
                </c:pt>
                <c:pt idx="11">
                  <c:v>15.025041736227045</c:v>
                </c:pt>
                <c:pt idx="12">
                  <c:v>14.962593516209473</c:v>
                </c:pt>
                <c:pt idx="13">
                  <c:v>15.929203539823009</c:v>
                </c:pt>
                <c:pt idx="14">
                  <c:v>15.293118096856414</c:v>
                </c:pt>
                <c:pt idx="15">
                  <c:v>14.622258326563772</c:v>
                </c:pt>
                <c:pt idx="16">
                  <c:v>15.77563540753725</c:v>
                </c:pt>
                <c:pt idx="17">
                  <c:v>15.929203539823009</c:v>
                </c:pt>
                <c:pt idx="18">
                  <c:v>14.4</c:v>
                </c:pt>
                <c:pt idx="19">
                  <c:v>14.492753623188406</c:v>
                </c:pt>
                <c:pt idx="20">
                  <c:v>13.953488372093023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B4-442B-BE87-72DE538DF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29848"/>
        <c:axId val="229531808"/>
      </c:scatterChart>
      <c:valAx>
        <c:axId val="229529848"/>
        <c:scaling>
          <c:orientation val="minMax"/>
          <c:max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1808"/>
        <c:crosses val="autoZero"/>
        <c:crossBetween val="midCat"/>
        <c:majorUnit val="100"/>
        <c:minorUnit val="50"/>
      </c:valAx>
      <c:valAx>
        <c:axId val="229531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29848"/>
        <c:crosses val="autoZero"/>
        <c:crossBetween val="midCat"/>
        <c:majorUnit val="1"/>
        <c:minorUnit val="0.5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18098105989087696"/>
          <c:y val="5.3347997349784529E-2"/>
          <c:w val="0.63803760458542758"/>
          <c:h val="8.1841250565652987E-2"/>
        </c:manualLayout>
      </c:layout>
      <c:overlay val="0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4574063604399471E-2"/>
          <c:y val="5.288007292175935E-2"/>
          <c:w val="0.89619847792998475"/>
          <c:h val="0.7877384338386870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'3'!$D$17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rgbClr val="70AD4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AD47"/>
              </a:solidFill>
              <a:ln w="9525">
                <a:solidFill>
                  <a:srgbClr val="70AD47"/>
                </a:solidFill>
              </a:ln>
              <a:effectLst/>
            </c:spPr>
          </c:marker>
          <c:xVal>
            <c:numRef>
              <c:f>'Rpt-3'!$B$45:$B$65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'Rpt-3'!$H$45:$H$65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21C-47C4-8CBD-F24413AB49B5}"/>
            </c:ext>
          </c:extLst>
        </c:ser>
        <c:ser>
          <c:idx val="1"/>
          <c:order val="1"/>
          <c:tx>
            <c:strRef>
              <c:f>'2'!$D$17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'Rpt-2'!$B$45:$B$65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'Rpt-2'!$H$45:$H$65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1C-47C4-8CBD-F24413AB49B5}"/>
            </c:ext>
          </c:extLst>
        </c:ser>
        <c:ser>
          <c:idx val="0"/>
          <c:order val="2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'Rpt-3'!$B$45:$B$65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'Rpt-1'!$H$45:$H$65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142.47999999999999</c:v>
                </c:pt>
                <c:pt idx="2">
                  <c:v>124.42</c:v>
                </c:pt>
                <c:pt idx="3">
                  <c:v>116.88</c:v>
                </c:pt>
                <c:pt idx="4">
                  <c:v>110.66</c:v>
                </c:pt>
                <c:pt idx="5">
                  <c:v>109.09</c:v>
                </c:pt>
                <c:pt idx="6">
                  <c:v>104.45</c:v>
                </c:pt>
                <c:pt idx="7">
                  <c:v>99.17</c:v>
                </c:pt>
                <c:pt idx="8">
                  <c:v>98.54</c:v>
                </c:pt>
                <c:pt idx="9">
                  <c:v>98.18</c:v>
                </c:pt>
                <c:pt idx="10">
                  <c:v>99.08</c:v>
                </c:pt>
                <c:pt idx="11">
                  <c:v>98.36</c:v>
                </c:pt>
                <c:pt idx="12">
                  <c:v>99.82</c:v>
                </c:pt>
                <c:pt idx="13">
                  <c:v>101.12</c:v>
                </c:pt>
                <c:pt idx="14">
                  <c:v>99.63</c:v>
                </c:pt>
                <c:pt idx="15">
                  <c:v>103.05</c:v>
                </c:pt>
                <c:pt idx="16">
                  <c:v>101.69</c:v>
                </c:pt>
                <c:pt idx="17">
                  <c:v>101.31</c:v>
                </c:pt>
                <c:pt idx="18">
                  <c:v>100.67</c:v>
                </c:pt>
                <c:pt idx="19">
                  <c:v>100.19</c:v>
                </c:pt>
                <c:pt idx="20">
                  <c:v>97.47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1C-47C4-8CBD-F24413AB4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710864"/>
        <c:axId val="396711648"/>
      </c:scatterChart>
      <c:valAx>
        <c:axId val="396710864"/>
        <c:scaling>
          <c:orientation val="minMax"/>
          <c:max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1648"/>
        <c:crosses val="autoZero"/>
        <c:crossBetween val="midCat"/>
        <c:majorUnit val="100"/>
        <c:minorUnit val="50"/>
      </c:valAx>
      <c:valAx>
        <c:axId val="396711648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0864"/>
        <c:crosses val="autoZero"/>
        <c:crossBetween val="midCat"/>
        <c:majorUnit val="5"/>
        <c:minorUnit val="1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18098105989087696"/>
          <c:y val="5.5232280005914638E-2"/>
          <c:w val="0.63803760458542758"/>
          <c:h val="8.2170225801912536E-2"/>
        </c:manualLayout>
      </c:layout>
      <c:overlay val="0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9769704029344371E-2"/>
          <c:y val="5.7451344068790648E-2"/>
          <c:w val="0.8906375951293759"/>
          <c:h val="0.7913071725026137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'3'!$D$17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rgbClr val="70AD4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AD47"/>
              </a:solidFill>
              <a:ln w="9525">
                <a:solidFill>
                  <a:srgbClr val="70AD47"/>
                </a:solidFill>
              </a:ln>
              <a:effectLst/>
            </c:spPr>
          </c:marker>
          <c:xVal>
            <c:numRef>
              <c:f>'Rpt-3'!$B$46:$B$65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'3'!$R$38:$R$57</c:f>
              <c:numCache>
                <c:formatCode>0.0</c:formatCode>
                <c:ptCount val="20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593-45DF-9F46-ABDC1611B49E}"/>
            </c:ext>
          </c:extLst>
        </c:ser>
        <c:ser>
          <c:idx val="1"/>
          <c:order val="1"/>
          <c:tx>
            <c:strRef>
              <c:f>'2'!$D$17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'Rpt-2'!$B$46:$B$65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'2'!$R$38:$R$57</c:f>
              <c:numCache>
                <c:formatCode>0.0</c:formatCode>
                <c:ptCount val="20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93-45DF-9F46-ABDC1611B49E}"/>
            </c:ext>
          </c:extLst>
        </c:ser>
        <c:ser>
          <c:idx val="0"/>
          <c:order val="2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'Rpt-3'!$B$46:$B$65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'1'!$R$38:$R$57</c:f>
              <c:numCache>
                <c:formatCode>0.0</c:formatCode>
                <c:ptCount val="20"/>
                <c:pt idx="0" formatCode="General">
                  <c:v>0.1670140295409519</c:v>
                </c:pt>
                <c:pt idx="1">
                  <c:v>0.9520498892036775</c:v>
                </c:pt>
                <c:pt idx="2" formatCode="General">
                  <c:v>0.72881178234994071</c:v>
                </c:pt>
                <c:pt idx="3" formatCode="General">
                  <c:v>0.50437198408640693</c:v>
                </c:pt>
                <c:pt idx="4" formatCode="General">
                  <c:v>0.26839963278529133</c:v>
                </c:pt>
                <c:pt idx="5" formatCode="General">
                  <c:v>3.073055992414897E-2</c:v>
                </c:pt>
                <c:pt idx="6" formatCode="General">
                  <c:v>-1.9242608328589483E-2</c:v>
                </c:pt>
                <c:pt idx="7" formatCode="General">
                  <c:v>-0.16968630715938549</c:v>
                </c:pt>
                <c:pt idx="8" formatCode="General">
                  <c:v>-0.23593844466255831</c:v>
                </c:pt>
                <c:pt idx="9" formatCode="General">
                  <c:v>-0.21524318035988887</c:v>
                </c:pt>
                <c:pt idx="10" formatCode="General">
                  <c:v>-0.20481781140608124</c:v>
                </c:pt>
                <c:pt idx="11" formatCode="General">
                  <c:v>-0.22216453918874013</c:v>
                </c:pt>
                <c:pt idx="12" formatCode="General">
                  <c:v>4.6338245148352719E-2</c:v>
                </c:pt>
                <c:pt idx="13" formatCode="General">
                  <c:v>-0.13035215567570102</c:v>
                </c:pt>
                <c:pt idx="14" formatCode="General">
                  <c:v>-0.31670209186810183</c:v>
                </c:pt>
                <c:pt idx="15" formatCode="General">
                  <c:v>3.6804306245308283E-3</c:v>
                </c:pt>
                <c:pt idx="16" formatCode="General">
                  <c:v>4.6338245148352719E-2</c:v>
                </c:pt>
                <c:pt idx="17" formatCode="General">
                  <c:v>-0.37844051591359396</c:v>
                </c:pt>
                <c:pt idx="18" formatCode="General">
                  <c:v>-0.35267562058348112</c:v>
                </c:pt>
                <c:pt idx="19" formatCode="General">
                  <c:v>-0.50247152366553216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593-45DF-9F46-ABDC1611B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29848"/>
        <c:axId val="229531808"/>
      </c:scatterChart>
      <c:valAx>
        <c:axId val="229529848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1808"/>
        <c:crosses val="autoZero"/>
        <c:crossBetween val="midCat"/>
        <c:majorUnit val="100"/>
        <c:minorUnit val="50"/>
      </c:valAx>
      <c:valAx>
        <c:axId val="22953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29848"/>
        <c:crosses val="autoZero"/>
        <c:crossBetween val="midCat"/>
        <c:majorUnit val="0.4"/>
        <c:minorUnit val="0.1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17668172586728564"/>
          <c:y val="5.3325312269898603E-2"/>
          <c:w val="0.63961813183017646"/>
          <c:h val="8.180644934725162E-2"/>
        </c:manualLayout>
      </c:layout>
      <c:overlay val="0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9769704029344371E-2"/>
          <c:y val="5.4550472821780001E-2"/>
          <c:w val="0.89257061534505888"/>
          <c:h val="0.79382070581872266"/>
        </c:manualLayout>
      </c:layout>
      <c:scatterChart>
        <c:scatterStyle val="smoothMarker"/>
        <c:varyColors val="0"/>
        <c:ser>
          <c:idx val="2"/>
          <c:order val="0"/>
          <c:tx>
            <c:strRef>
              <c:f>'3'!$D$17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rgbClr val="70AD4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AD47"/>
              </a:solidFill>
              <a:ln w="9525">
                <a:solidFill>
                  <a:srgbClr val="70AD47"/>
                </a:solidFill>
              </a:ln>
              <a:effectLst/>
            </c:spPr>
          </c:marker>
          <c:xVal>
            <c:numRef>
              <c:f>'Rpt-3'!$B$46:$B$65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'3'!$S$38:$S$57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22F-4D0E-8495-2B04AAE5DC94}"/>
            </c:ext>
          </c:extLst>
        </c:ser>
        <c:ser>
          <c:idx val="1"/>
          <c:order val="1"/>
          <c:tx>
            <c:strRef>
              <c:f>'2'!$D$17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'Rpt-2'!$B$46:$B$65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'2'!$S$38:$S$57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2F-4D0E-8495-2B04AAE5DC94}"/>
            </c:ext>
          </c:extLst>
        </c:ser>
        <c:ser>
          <c:idx val="0"/>
          <c:order val="2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'Rpt-3'!$B$46:$B$65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'1'!$S$38:$S$57</c:f>
              <c:numCache>
                <c:formatCode>General</c:formatCode>
                <c:ptCount val="20"/>
                <c:pt idx="0">
                  <c:v>37.167000000000002</c:v>
                </c:pt>
                <c:pt idx="1">
                  <c:v>19.107000000000014</c:v>
                </c:pt>
                <c:pt idx="2">
                  <c:v>11.567000000000007</c:v>
                </c:pt>
                <c:pt idx="3">
                  <c:v>5.3470000000000084</c:v>
                </c:pt>
                <c:pt idx="4">
                  <c:v>3.7770000000000152</c:v>
                </c:pt>
                <c:pt idx="5">
                  <c:v>-0.86299999999998533</c:v>
                </c:pt>
                <c:pt idx="6">
                  <c:v>-6.1429999999999865</c:v>
                </c:pt>
                <c:pt idx="7">
                  <c:v>-6.7729999999999819</c:v>
                </c:pt>
                <c:pt idx="8">
                  <c:v>-7.1329999999999814</c:v>
                </c:pt>
                <c:pt idx="9">
                  <c:v>-6.2329999999999899</c:v>
                </c:pt>
                <c:pt idx="10">
                  <c:v>-6.9529999999999887</c:v>
                </c:pt>
                <c:pt idx="11">
                  <c:v>-5.492999999999995</c:v>
                </c:pt>
                <c:pt idx="12">
                  <c:v>-4.1929999999999836</c:v>
                </c:pt>
                <c:pt idx="13">
                  <c:v>-5.6829999999999927</c:v>
                </c:pt>
                <c:pt idx="14">
                  <c:v>-2.262999999999991</c:v>
                </c:pt>
                <c:pt idx="15">
                  <c:v>-3.6229999999999905</c:v>
                </c:pt>
                <c:pt idx="16">
                  <c:v>-4.0029999999999859</c:v>
                </c:pt>
                <c:pt idx="17">
                  <c:v>-4.6429999999999865</c:v>
                </c:pt>
                <c:pt idx="18">
                  <c:v>-5.1229999999999905</c:v>
                </c:pt>
                <c:pt idx="19">
                  <c:v>-7.8429999999999893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22F-4D0E-8495-2B04AAE5D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710864"/>
        <c:axId val="396711648"/>
      </c:scatterChart>
      <c:valAx>
        <c:axId val="396710864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1648"/>
        <c:crosses val="autoZero"/>
        <c:crossBetween val="midCat"/>
        <c:majorUnit val="100"/>
        <c:minorUnit val="50"/>
      </c:valAx>
      <c:valAx>
        <c:axId val="39671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0864"/>
        <c:crosses val="autoZero"/>
        <c:crossBetween val="midCat"/>
        <c:majorUnit val="5"/>
        <c:minorUnit val="1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1801909340849118"/>
          <c:y val="5.5232280005914638E-2"/>
          <c:w val="0.63961813183017646"/>
          <c:h val="8.2412644650122935E-2"/>
        </c:manualLayout>
      </c:layout>
      <c:overlay val="0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9528437750319916E-2"/>
          <c:y val="5.288007292175935E-2"/>
          <c:w val="0.90113592085235916"/>
          <c:h val="0.8050440613026820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'3'!$D$17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rgbClr val="70AD4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AD47"/>
              </a:solidFill>
              <a:ln w="9525">
                <a:solidFill>
                  <a:srgbClr val="70AD47"/>
                </a:solidFill>
              </a:ln>
              <a:effectLst/>
            </c:spPr>
          </c:marker>
          <c:xVal>
            <c:numRef>
              <c:f>'Rpt-3'!$B$45:$B$65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'Rpt-3'!$I$45:$I$65</c:f>
              <c:numCache>
                <c:formatCode>0.0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77B-41F8-972C-BC82A1A3ABE6}"/>
            </c:ext>
          </c:extLst>
        </c:ser>
        <c:ser>
          <c:idx val="1"/>
          <c:order val="1"/>
          <c:tx>
            <c:strRef>
              <c:f>'2'!$D$17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'Rpt-2'!$B$45:$B$65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'Rpt-2'!$I$45:$I$65</c:f>
              <c:numCache>
                <c:formatCode>0.0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7B-41F8-972C-BC82A1A3ABE6}"/>
            </c:ext>
          </c:extLst>
        </c:ser>
        <c:ser>
          <c:idx val="0"/>
          <c:order val="2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'Rpt-3'!$B$45:$B$65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'Rpt-1'!$I$45:$I$65</c:f>
              <c:numCache>
                <c:formatCode>0.0</c:formatCode>
                <c:ptCount val="21"/>
                <c:pt idx="1">
                  <c:v>39.548434915509787</c:v>
                </c:pt>
                <c:pt idx="2">
                  <c:v>73.040300492915605</c:v>
                </c:pt>
                <c:pt idx="3">
                  <c:v>68.386910642271474</c:v>
                </c:pt>
                <c:pt idx="4">
                  <c:v>63.120543191903955</c:v>
                </c:pt>
                <c:pt idx="5">
                  <c:v>55.187345824650464</c:v>
                </c:pt>
                <c:pt idx="6">
                  <c:v>49.239502397299439</c:v>
                </c:pt>
                <c:pt idx="7">
                  <c:v>50.117649720650398</c:v>
                </c:pt>
                <c:pt idx="8">
                  <c:v>45.394097227876131</c:v>
                </c:pt>
                <c:pt idx="9">
                  <c:v>43.442661603535093</c:v>
                </c:pt>
                <c:pt idx="10">
                  <c:v>43.696458848789717</c:v>
                </c:pt>
                <c:pt idx="11">
                  <c:v>44.347821330540242</c:v>
                </c:pt>
                <c:pt idx="12">
                  <c:v>43.156559599548856</c:v>
                </c:pt>
                <c:pt idx="13">
                  <c:v>51.403048032859132</c:v>
                </c:pt>
                <c:pt idx="14">
                  <c:v>46.168072632688279</c:v>
                </c:pt>
                <c:pt idx="15">
                  <c:v>39.015673522236831</c:v>
                </c:pt>
                <c:pt idx="16">
                  <c:v>49.650780831351206</c:v>
                </c:pt>
                <c:pt idx="17">
                  <c:v>51.306645119758322</c:v>
                </c:pt>
                <c:pt idx="18">
                  <c:v>38.144432303566106</c:v>
                </c:pt>
                <c:pt idx="19">
                  <c:v>39.072580918651362</c:v>
                </c:pt>
                <c:pt idx="20">
                  <c:v>35.844387727812382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7B-41F8-972C-BC82A1A3A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710864"/>
        <c:axId val="396711648"/>
      </c:scatterChart>
      <c:valAx>
        <c:axId val="396710864"/>
        <c:scaling>
          <c:orientation val="minMax"/>
          <c:max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1648"/>
        <c:crosses val="autoZero"/>
        <c:crossBetween val="midCat"/>
        <c:majorUnit val="100"/>
        <c:minorUnit val="50"/>
      </c:valAx>
      <c:valAx>
        <c:axId val="39671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0864"/>
        <c:crosses val="autoZero"/>
        <c:crossBetween val="midCat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17748052309596291"/>
          <c:y val="5.5232301842750436E-2"/>
          <c:w val="0.63803760458542758"/>
          <c:h val="8.2112643678160929E-2"/>
        </c:manualLayout>
      </c:layout>
      <c:overlay val="0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9769704029344371E-2"/>
          <c:y val="3.9473406681952566E-2"/>
          <c:w val="0.89257061534505888"/>
          <c:h val="0.8184505747126434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'3'!$D$17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rgbClr val="70AD4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AD47"/>
              </a:solidFill>
              <a:ln w="9525">
                <a:solidFill>
                  <a:srgbClr val="70AD47"/>
                </a:solidFill>
              </a:ln>
              <a:effectLst/>
            </c:spPr>
          </c:marker>
          <c:xVal>
            <c:numRef>
              <c:f>'Rpt-3'!$B$46:$B$65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'3'!$V$38:$V$57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586-4CF3-8204-F52CF0C2096D}"/>
            </c:ext>
          </c:extLst>
        </c:ser>
        <c:ser>
          <c:idx val="1"/>
          <c:order val="1"/>
          <c:tx>
            <c:strRef>
              <c:f>'2'!$D$17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'Rpt-2'!$B$46:$B$65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'2'!$V$38:$V$57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86-4CF3-8204-F52CF0C2096D}"/>
            </c:ext>
          </c:extLst>
        </c:ser>
        <c:ser>
          <c:idx val="0"/>
          <c:order val="2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'Rpt-3'!$B$46:$B$65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'1'!$V$38:$V$57</c:f>
              <c:numCache>
                <c:formatCode>General</c:formatCode>
                <c:ptCount val="20"/>
                <c:pt idx="0">
                  <c:v>-8.9157604287109464</c:v>
                </c:pt>
                <c:pt idx="1">
                  <c:v>24.576105148694872</c:v>
                </c:pt>
                <c:pt idx="2">
                  <c:v>19.92271529805074</c:v>
                </c:pt>
                <c:pt idx="3">
                  <c:v>14.656347847683222</c:v>
                </c:pt>
                <c:pt idx="4">
                  <c:v>6.7231504804297302</c:v>
                </c:pt>
                <c:pt idx="5">
                  <c:v>0.77530705307870562</c:v>
                </c:pt>
                <c:pt idx="6">
                  <c:v>1.6534543764296643</c:v>
                </c:pt>
                <c:pt idx="7">
                  <c:v>-3.0700981163446031</c:v>
                </c:pt>
                <c:pt idx="8">
                  <c:v>-5.0215337406856406</c:v>
                </c:pt>
                <c:pt idx="9">
                  <c:v>-4.7677364954310164</c:v>
                </c:pt>
                <c:pt idx="10">
                  <c:v>-4.1163740136804918</c:v>
                </c:pt>
                <c:pt idx="11">
                  <c:v>-5.3076357446718774</c:v>
                </c:pt>
                <c:pt idx="12">
                  <c:v>2.9388526886383985</c:v>
                </c:pt>
                <c:pt idx="13">
                  <c:v>-2.2961227115324547</c:v>
                </c:pt>
                <c:pt idx="14">
                  <c:v>-9.4485218219839027</c:v>
                </c:pt>
                <c:pt idx="15">
                  <c:v>1.186585487130472</c:v>
                </c:pt>
                <c:pt idx="16">
                  <c:v>2.8424497755375882</c:v>
                </c:pt>
                <c:pt idx="17">
                  <c:v>-10.319763040654628</c:v>
                </c:pt>
                <c:pt idx="18">
                  <c:v>-9.3916144255693723</c:v>
                </c:pt>
                <c:pt idx="19">
                  <c:v>-12.619807616408352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586-4CF3-8204-F52CF0C20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710864"/>
        <c:axId val="396711648"/>
      </c:scatterChart>
      <c:valAx>
        <c:axId val="396710864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1648"/>
        <c:crosses val="autoZero"/>
        <c:crossBetween val="midCat"/>
        <c:majorUnit val="100"/>
        <c:minorUnit val="50"/>
      </c:valAx>
      <c:valAx>
        <c:axId val="39671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0864"/>
        <c:crosses val="autoZero"/>
        <c:crossBetween val="midCat"/>
        <c:majorUnit val="5"/>
        <c:minorUnit val="1"/>
      </c:valAx>
      <c:spPr>
        <a:solidFill>
          <a:sysClr val="window" lastClr="FFFFFF"/>
        </a:solidFill>
        <a:ln>
          <a:solidFill>
            <a:schemeClr val="accent3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1801909340849118"/>
          <c:y val="4.0168946794727586E-2"/>
          <c:w val="0.63961813183017646"/>
          <c:h val="8.2112643678160929E-2"/>
        </c:manualLayout>
      </c:layout>
      <c:overlay val="0"/>
      <c:spPr>
        <a:noFill/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A5A5A5">
          <a:lumMod val="75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'Rpt-3'!$J$72:$J$73</c:f>
          <c:strCache>
            <c:ptCount val="2"/>
            <c:pt idx="0">
              <c:v>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'3'!$D$17</c:f>
              <c:strCache>
                <c:ptCount val="1"/>
                <c:pt idx="0">
                  <c:v>A Final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'Rpt-2'!$A$75:$A$78</c:f>
              <c:strCache>
                <c:ptCount val="4"/>
                <c:pt idx="0">
                  <c:v>150</c:v>
                </c:pt>
                <c:pt idx="1">
                  <c:v>200</c:v>
                </c:pt>
                <c:pt idx="2">
                  <c:v> </c:v>
                </c:pt>
                <c:pt idx="3">
                  <c:v> </c:v>
                </c:pt>
              </c:strCache>
            </c:strRef>
          </c:cat>
          <c:val>
            <c:numRef>
              <c:f>'Rpt-3'!$J$76:$J$79</c:f>
              <c:numCache>
                <c:formatCode>m:ss.00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E6-49CF-B932-27E2899F36EF}"/>
            </c:ext>
          </c:extLst>
        </c:ser>
        <c:ser>
          <c:idx val="1"/>
          <c:order val="1"/>
          <c:tx>
            <c:strRef>
              <c:f>'2'!$D$17</c:f>
              <c:strCache>
                <c:ptCount val="1"/>
                <c:pt idx="0">
                  <c:v>A Final</c:v>
                </c:pt>
              </c:strCache>
            </c:strRef>
          </c:tx>
          <c:invertIfNegative val="0"/>
          <c:cat>
            <c:strRef>
              <c:f>'Rpt-2'!$A$75:$A$78</c:f>
              <c:strCache>
                <c:ptCount val="4"/>
                <c:pt idx="0">
                  <c:v>150</c:v>
                </c:pt>
                <c:pt idx="1">
                  <c:v>200</c:v>
                </c:pt>
                <c:pt idx="2">
                  <c:v> </c:v>
                </c:pt>
                <c:pt idx="3">
                  <c:v> </c:v>
                </c:pt>
              </c:strCache>
            </c:strRef>
          </c:cat>
          <c:val>
            <c:numRef>
              <c:f>'Rpt-2'!$J$75:$J$78</c:f>
              <c:numCache>
                <c:formatCode>m:ss.00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6-49CF-B932-27E2899F36EF}"/>
            </c:ext>
          </c:extLst>
        </c:ser>
        <c:ser>
          <c:idx val="0"/>
          <c:order val="2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'Rpt-2'!$A$75:$A$78</c:f>
              <c:strCache>
                <c:ptCount val="4"/>
                <c:pt idx="0">
                  <c:v>150</c:v>
                </c:pt>
                <c:pt idx="1">
                  <c:v>200</c:v>
                </c:pt>
                <c:pt idx="2">
                  <c:v> </c:v>
                </c:pt>
                <c:pt idx="3">
                  <c:v> </c:v>
                </c:pt>
              </c:strCache>
            </c:strRef>
          </c:cat>
          <c:val>
            <c:numRef>
              <c:f>'Rpt-1'!$J$75:$J$78</c:f>
              <c:numCache>
                <c:formatCode>m:ss.00</c:formatCode>
                <c:ptCount val="4"/>
                <c:pt idx="0">
                  <c:v>2.3699074074074074E-3</c:v>
                </c:pt>
                <c:pt idx="1">
                  <c:v>2.7208333333333329E-3</c:v>
                </c:pt>
                <c:pt idx="2">
                  <c:v>2.7495370370370373E-3</c:v>
                </c:pt>
                <c:pt idx="3">
                  <c:v>2.8023148148148148E-3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E6-49CF-B932-27E2899F3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8609375"/>
        <c:axId val="559917375"/>
      </c:barChart>
      <c:catAx>
        <c:axId val="868609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17375"/>
        <c:crosses val="autoZero"/>
        <c:auto val="1"/>
        <c:lblAlgn val="ctr"/>
        <c:lblOffset val="100"/>
        <c:noMultiLvlLbl val="0"/>
      </c:catAx>
      <c:valAx>
        <c:axId val="559917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:ss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60937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'Rpt-3'!$J$83:$J$84</c:f>
          <c:strCache>
            <c:ptCount val="2"/>
            <c:pt idx="0">
              <c:v>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'3'!$D$17</c:f>
              <c:strCache>
                <c:ptCount val="1"/>
                <c:pt idx="0">
                  <c:v>A Final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numRef>
              <c:f>'Rpt-1'!$A$75:$A$78</c:f>
              <c:numCache>
                <c:formatCode>General</c:formatCode>
                <c:ptCount val="4"/>
                <c:pt idx="0">
                  <c:v>250</c:v>
                </c:pt>
                <c:pt idx="1">
                  <c:v>500</c:v>
                </c:pt>
                <c:pt idx="2">
                  <c:v>750</c:v>
                </c:pt>
                <c:pt idx="3">
                  <c:v>1000</c:v>
                </c:pt>
              </c:numCache>
            </c:numRef>
          </c:cat>
          <c:val>
            <c:numRef>
              <c:f>'Rpt-3'!$Q$19:$Q$22</c:f>
              <c:numCache>
                <c:formatCode>0.00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0F-45E5-9404-F55F93664704}"/>
            </c:ext>
          </c:extLst>
        </c:ser>
        <c:ser>
          <c:idx val="1"/>
          <c:order val="1"/>
          <c:tx>
            <c:strRef>
              <c:f>'2'!$D$17</c:f>
              <c:strCache>
                <c:ptCount val="1"/>
                <c:pt idx="0">
                  <c:v>A Final</c:v>
                </c:pt>
              </c:strCache>
            </c:strRef>
          </c:tx>
          <c:invertIfNegative val="0"/>
          <c:cat>
            <c:numRef>
              <c:f>'Rpt-1'!$A$75:$A$78</c:f>
              <c:numCache>
                <c:formatCode>General</c:formatCode>
                <c:ptCount val="4"/>
                <c:pt idx="0">
                  <c:v>250</c:v>
                </c:pt>
                <c:pt idx="1">
                  <c:v>500</c:v>
                </c:pt>
                <c:pt idx="2">
                  <c:v>750</c:v>
                </c:pt>
                <c:pt idx="3">
                  <c:v>1000</c:v>
                </c:pt>
              </c:numCache>
            </c:numRef>
          </c:cat>
          <c:val>
            <c:numRef>
              <c:f>'Rpt-2'!$Q$19:$Q$22</c:f>
              <c:numCache>
                <c:formatCode>0.00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0F-45E5-9404-F55F93664704}"/>
            </c:ext>
          </c:extLst>
        </c:ser>
        <c:ser>
          <c:idx val="3"/>
          <c:order val="2"/>
          <c:tx>
            <c:strRef>
              <c:f>'1'!$D$17</c:f>
              <c:strCache>
                <c:ptCount val="1"/>
                <c:pt idx="0">
                  <c:v>A Final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'Rpt-1'!$A$75:$A$78</c:f>
              <c:numCache>
                <c:formatCode>General</c:formatCode>
                <c:ptCount val="4"/>
                <c:pt idx="0">
                  <c:v>250</c:v>
                </c:pt>
                <c:pt idx="1">
                  <c:v>500</c:v>
                </c:pt>
                <c:pt idx="2">
                  <c:v>750</c:v>
                </c:pt>
                <c:pt idx="3">
                  <c:v>1000</c:v>
                </c:pt>
              </c:numCache>
            </c:numRef>
          </c:cat>
          <c:val>
            <c:numRef>
              <c:f>'Rpt-1'!$Q$19:$Q$22</c:f>
              <c:numCache>
                <c:formatCode>0.00</c:formatCode>
                <c:ptCount val="4"/>
                <c:pt idx="0">
                  <c:v>-6.2800000000000011</c:v>
                </c:pt>
                <c:pt idx="1">
                  <c:v>1.2999999999999901</c:v>
                </c:pt>
                <c:pt idx="2">
                  <c:v>1.9200000000000088</c:v>
                </c:pt>
                <c:pt idx="3">
                  <c:v>3.0600000000000023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0F-45E5-9404-F55F93664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8609375"/>
        <c:axId val="559917375"/>
      </c:barChart>
      <c:catAx>
        <c:axId val="868609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17375"/>
        <c:crosses val="autoZero"/>
        <c:auto val="1"/>
        <c:lblAlgn val="ctr"/>
        <c:lblOffset val="100"/>
        <c:noMultiLvlLbl val="0"/>
      </c:catAx>
      <c:valAx>
        <c:axId val="559917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60937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chart" Target="../charts/chart8.xml"/><Relationship Id="rId7" Type="http://schemas.microsoft.com/office/2007/relationships/hdphoto" Target="../media/hdphoto1.wdp"/><Relationship Id="rId12" Type="http://schemas.openxmlformats.org/officeDocument/2006/relationships/chart" Target="../charts/chart14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1.png"/><Relationship Id="rId11" Type="http://schemas.openxmlformats.org/officeDocument/2006/relationships/chart" Target="../charts/chart13.xml"/><Relationship Id="rId5" Type="http://schemas.openxmlformats.org/officeDocument/2006/relationships/chart" Target="../charts/chart10.xml"/><Relationship Id="rId10" Type="http://schemas.openxmlformats.org/officeDocument/2006/relationships/chart" Target="../charts/chart12.xml"/><Relationship Id="rId4" Type="http://schemas.openxmlformats.org/officeDocument/2006/relationships/chart" Target="../charts/chart9.xml"/><Relationship Id="rId9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7.xml"/><Relationship Id="rId7" Type="http://schemas.openxmlformats.org/officeDocument/2006/relationships/image" Target="../media/image2.png"/><Relationship Id="rId12" Type="http://schemas.openxmlformats.org/officeDocument/2006/relationships/chart" Target="../charts/chart23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microsoft.com/office/2007/relationships/hdphoto" Target="../media/hdphoto2.wdp"/><Relationship Id="rId11" Type="http://schemas.openxmlformats.org/officeDocument/2006/relationships/chart" Target="../charts/chart22.xml"/><Relationship Id="rId5" Type="http://schemas.openxmlformats.org/officeDocument/2006/relationships/image" Target="../media/image3.png"/><Relationship Id="rId10" Type="http://schemas.openxmlformats.org/officeDocument/2006/relationships/chart" Target="../charts/chart21.xml"/><Relationship Id="rId4" Type="http://schemas.openxmlformats.org/officeDocument/2006/relationships/chart" Target="../charts/chart18.xml"/><Relationship Id="rId9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12" Type="http://schemas.openxmlformats.org/officeDocument/2006/relationships/chart" Target="../charts/chart32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image" Target="../media/image2.png"/><Relationship Id="rId5" Type="http://schemas.openxmlformats.org/officeDocument/2006/relationships/chart" Target="../charts/chart28.xml"/><Relationship Id="rId10" Type="http://schemas.microsoft.com/office/2007/relationships/hdphoto" Target="../media/hdphoto3.wdp"/><Relationship Id="rId4" Type="http://schemas.openxmlformats.org/officeDocument/2006/relationships/chart" Target="../charts/chart27.xml"/><Relationship Id="rId9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83820</xdr:colOff>
          <xdr:row>22</xdr:row>
          <xdr:rowOff>30480</xdr:rowOff>
        </xdr:from>
        <xdr:to>
          <xdr:col>13</xdr:col>
          <xdr:colOff>60960</xdr:colOff>
          <xdr:row>25</xdr:row>
          <xdr:rowOff>68580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31</xdr:row>
          <xdr:rowOff>83820</xdr:rowOff>
        </xdr:from>
        <xdr:to>
          <xdr:col>13</xdr:col>
          <xdr:colOff>0</xdr:colOff>
          <xdr:row>34</xdr:row>
          <xdr:rowOff>22860</xdr:rowOff>
        </xdr:to>
        <xdr:sp macro="" textlink="">
          <xdr:nvSpPr>
            <xdr:cNvPr id="11286" name="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1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Minimax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526597</xdr:colOff>
      <xdr:row>29</xdr:row>
      <xdr:rowOff>118384</xdr:rowOff>
    </xdr:from>
    <xdr:to>
      <xdr:col>24</xdr:col>
      <xdr:colOff>564697</xdr:colOff>
      <xdr:row>45</xdr:row>
      <xdr:rowOff>69398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11</xdr:row>
          <xdr:rowOff>38100</xdr:rowOff>
        </xdr:from>
        <xdr:to>
          <xdr:col>1</xdr:col>
          <xdr:colOff>670560</xdr:colOff>
          <xdr:row>12</xdr:row>
          <xdr:rowOff>38100</xdr:rowOff>
        </xdr:to>
        <xdr:sp macro="" textlink="">
          <xdr:nvSpPr>
            <xdr:cNvPr id="11287" name="Button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1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153760</xdr:colOff>
      <xdr:row>45</xdr:row>
      <xdr:rowOff>153762</xdr:rowOff>
    </xdr:from>
    <xdr:to>
      <xdr:col>30</xdr:col>
      <xdr:colOff>191860</xdr:colOff>
      <xdr:row>60</xdr:row>
      <xdr:rowOff>130629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277585</xdr:colOff>
      <xdr:row>46</xdr:row>
      <xdr:rowOff>8165</xdr:rowOff>
    </xdr:from>
    <xdr:to>
      <xdr:col>37</xdr:col>
      <xdr:colOff>306160</xdr:colOff>
      <xdr:row>58</xdr:row>
      <xdr:rowOff>85725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31</xdr:row>
          <xdr:rowOff>83820</xdr:rowOff>
        </xdr:from>
        <xdr:to>
          <xdr:col>12</xdr:col>
          <xdr:colOff>541020</xdr:colOff>
          <xdr:row>34</xdr:row>
          <xdr:rowOff>22860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2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Minimax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130629</xdr:colOff>
      <xdr:row>35</xdr:row>
      <xdr:rowOff>145597</xdr:rowOff>
    </xdr:from>
    <xdr:to>
      <xdr:col>30</xdr:col>
      <xdr:colOff>168729</xdr:colOff>
      <xdr:row>54</xdr:row>
      <xdr:rowOff>68036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11</xdr:row>
          <xdr:rowOff>38100</xdr:rowOff>
        </xdr:from>
        <xdr:to>
          <xdr:col>1</xdr:col>
          <xdr:colOff>670560</xdr:colOff>
          <xdr:row>12</xdr:row>
          <xdr:rowOff>38100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2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31</xdr:row>
          <xdr:rowOff>83820</xdr:rowOff>
        </xdr:from>
        <xdr:to>
          <xdr:col>12</xdr:col>
          <xdr:colOff>541020</xdr:colOff>
          <xdr:row>34</xdr:row>
          <xdr:rowOff>22860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Minimax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77561</xdr:colOff>
      <xdr:row>37</xdr:row>
      <xdr:rowOff>35378</xdr:rowOff>
    </xdr:from>
    <xdr:to>
      <xdr:col>32</xdr:col>
      <xdr:colOff>115661</xdr:colOff>
      <xdr:row>56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11</xdr:row>
          <xdr:rowOff>38100</xdr:rowOff>
        </xdr:from>
        <xdr:to>
          <xdr:col>1</xdr:col>
          <xdr:colOff>670560</xdr:colOff>
          <xdr:row>12</xdr:row>
          <xdr:rowOff>38100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3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26015</xdr:colOff>
      <xdr:row>14</xdr:row>
      <xdr:rowOff>35297</xdr:rowOff>
    </xdr:from>
    <xdr:to>
      <xdr:col>10</xdr:col>
      <xdr:colOff>482315</xdr:colOff>
      <xdr:row>39</xdr:row>
      <xdr:rowOff>127172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22729</xdr:colOff>
      <xdr:row>136</xdr:row>
      <xdr:rowOff>32455</xdr:rowOff>
    </xdr:from>
    <xdr:to>
      <xdr:col>5</xdr:col>
      <xdr:colOff>288979</xdr:colOff>
      <xdr:row>152</xdr:row>
      <xdr:rowOff>132338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24092</xdr:colOff>
      <xdr:row>154</xdr:row>
      <xdr:rowOff>29015</xdr:rowOff>
    </xdr:from>
    <xdr:to>
      <xdr:col>5</xdr:col>
      <xdr:colOff>290342</xdr:colOff>
      <xdr:row>170</xdr:row>
      <xdr:rowOff>128897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175260</xdr:colOff>
          <xdr:row>4</xdr:row>
          <xdr:rowOff>83820</xdr:rowOff>
        </xdr:from>
        <xdr:to>
          <xdr:col>16</xdr:col>
          <xdr:colOff>137160</xdr:colOff>
          <xdr:row>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24090</xdr:colOff>
      <xdr:row>172</xdr:row>
      <xdr:rowOff>31259</xdr:rowOff>
    </xdr:from>
    <xdr:to>
      <xdr:col>5</xdr:col>
      <xdr:colOff>290340</xdr:colOff>
      <xdr:row>188</xdr:row>
      <xdr:rowOff>131141</xdr:rowOff>
    </xdr:to>
    <xdr:graphicFrame macro="">
      <xdr:nvGraphicFramePr>
        <xdr:cNvPr id="12" name="Chart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14470</xdr:colOff>
      <xdr:row>82</xdr:row>
      <xdr:rowOff>158732</xdr:rowOff>
    </xdr:from>
    <xdr:to>
      <xdr:col>5</xdr:col>
      <xdr:colOff>280720</xdr:colOff>
      <xdr:row>98</xdr:row>
      <xdr:rowOff>87932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33618</xdr:colOff>
      <xdr:row>0</xdr:row>
      <xdr:rowOff>56504</xdr:rowOff>
    </xdr:from>
    <xdr:to>
      <xdr:col>2</xdr:col>
      <xdr:colOff>435797</xdr:colOff>
      <xdr:row>2</xdr:row>
      <xdr:rowOff>171844</xdr:rowOff>
    </xdr:to>
    <xdr:pic>
      <xdr:nvPicPr>
        <xdr:cNvPr id="14" name="Picture 13" descr="Image result for paddle nsw logo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colorTemperature colorTemp="6227"/>
                  </a14:imgEffect>
                  <a14:imgEffect>
                    <a14:saturation sat="0"/>
                  </a14:imgEffect>
                  <a14:imgEffect>
                    <a14:brightnessContrast bright="100000" contrast="1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8" y="56504"/>
          <a:ext cx="1745947" cy="603472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414617</xdr:colOff>
      <xdr:row>0</xdr:row>
      <xdr:rowOff>48433</xdr:rowOff>
    </xdr:from>
    <xdr:to>
      <xdr:col>11</xdr:col>
      <xdr:colOff>908</xdr:colOff>
      <xdr:row>2</xdr:row>
      <xdr:rowOff>210952</xdr:rowOff>
    </xdr:to>
    <xdr:pic>
      <xdr:nvPicPr>
        <xdr:cNvPr id="16" name="Picture 15" descr="Image result for nswis white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2799" b="31194"/>
        <a:stretch/>
      </xdr:blipFill>
      <xdr:spPr bwMode="auto">
        <a:xfrm>
          <a:off x="5774448" y="48433"/>
          <a:ext cx="1531651" cy="6430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320121</xdr:colOff>
      <xdr:row>82</xdr:row>
      <xdr:rowOff>159215</xdr:rowOff>
    </xdr:from>
    <xdr:to>
      <xdr:col>10</xdr:col>
      <xdr:colOff>510171</xdr:colOff>
      <xdr:row>98</xdr:row>
      <xdr:rowOff>88415</xdr:rowOff>
    </xdr:to>
    <xdr:graphicFrame macro="">
      <xdr:nvGraphicFramePr>
        <xdr:cNvPr id="17" name="Chart 9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327312</xdr:colOff>
      <xdr:row>136</xdr:row>
      <xdr:rowOff>25111</xdr:rowOff>
    </xdr:from>
    <xdr:to>
      <xdr:col>10</xdr:col>
      <xdr:colOff>517362</xdr:colOff>
      <xdr:row>152</xdr:row>
      <xdr:rowOff>124994</xdr:rowOff>
    </xdr:to>
    <xdr:graphicFrame macro="">
      <xdr:nvGraphicFramePr>
        <xdr:cNvPr id="18" name="Chart 5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325581</xdr:colOff>
      <xdr:row>154</xdr:row>
      <xdr:rowOff>27709</xdr:rowOff>
    </xdr:from>
    <xdr:to>
      <xdr:col>10</xdr:col>
      <xdr:colOff>515631</xdr:colOff>
      <xdr:row>170</xdr:row>
      <xdr:rowOff>127591</xdr:rowOff>
    </xdr:to>
    <xdr:graphicFrame macro="">
      <xdr:nvGraphicFramePr>
        <xdr:cNvPr id="19" name="Chart 6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324715</xdr:colOff>
      <xdr:row>172</xdr:row>
      <xdr:rowOff>25977</xdr:rowOff>
    </xdr:from>
    <xdr:to>
      <xdr:col>10</xdr:col>
      <xdr:colOff>514765</xdr:colOff>
      <xdr:row>188</xdr:row>
      <xdr:rowOff>125859</xdr:rowOff>
    </xdr:to>
    <xdr:graphicFrame macro="">
      <xdr:nvGraphicFramePr>
        <xdr:cNvPr id="20" name="Chart 7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32253</xdr:colOff>
      <xdr:row>136</xdr:row>
      <xdr:rowOff>19691</xdr:rowOff>
    </xdr:from>
    <xdr:to>
      <xdr:col>5</xdr:col>
      <xdr:colOff>298503</xdr:colOff>
      <xdr:row>152</xdr:row>
      <xdr:rowOff>119573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24092</xdr:colOff>
      <xdr:row>154</xdr:row>
      <xdr:rowOff>38659</xdr:rowOff>
    </xdr:from>
    <xdr:to>
      <xdr:col>5</xdr:col>
      <xdr:colOff>290342</xdr:colOff>
      <xdr:row>170</xdr:row>
      <xdr:rowOff>138541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426720</xdr:colOff>
          <xdr:row>6</xdr:row>
          <xdr:rowOff>22860</xdr:rowOff>
        </xdr:from>
        <xdr:to>
          <xdr:col>15</xdr:col>
          <xdr:colOff>388620</xdr:colOff>
          <xdr:row>10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24090</xdr:colOff>
      <xdr:row>172</xdr:row>
      <xdr:rowOff>29134</xdr:rowOff>
    </xdr:from>
    <xdr:to>
      <xdr:col>5</xdr:col>
      <xdr:colOff>290340</xdr:colOff>
      <xdr:row>188</xdr:row>
      <xdr:rowOff>129017</xdr:rowOff>
    </xdr:to>
    <xdr:graphicFrame macro="">
      <xdr:nvGraphicFramePr>
        <xdr:cNvPr id="9" name="Chart 4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16096</xdr:colOff>
      <xdr:row>93</xdr:row>
      <xdr:rowOff>610</xdr:rowOff>
    </xdr:from>
    <xdr:to>
      <xdr:col>5</xdr:col>
      <xdr:colOff>282346</xdr:colOff>
      <xdr:row>108</xdr:row>
      <xdr:rowOff>91735</xdr:rowOff>
    </xdr:to>
    <xdr:graphicFrame macro="">
      <xdr:nvGraphicFramePr>
        <xdr:cNvPr id="11" name="Chart 8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33618</xdr:colOff>
      <xdr:row>0</xdr:row>
      <xdr:rowOff>67236</xdr:rowOff>
    </xdr:from>
    <xdr:to>
      <xdr:col>2</xdr:col>
      <xdr:colOff>439607</xdr:colOff>
      <xdr:row>2</xdr:row>
      <xdr:rowOff>175034</xdr:rowOff>
    </xdr:to>
    <xdr:pic>
      <xdr:nvPicPr>
        <xdr:cNvPr id="12" name="Picture 11" descr="Image result for paddle nsw logo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colorTemperature colorTemp="6227"/>
                  </a14:imgEffect>
                  <a14:imgEffect>
                    <a14:saturation sat="0"/>
                  </a14:imgEffect>
                  <a14:imgEffect>
                    <a14:brightnessContrast bright="100000" contrast="1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8" y="67236"/>
          <a:ext cx="1750695" cy="578445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414617</xdr:colOff>
      <xdr:row>0</xdr:row>
      <xdr:rowOff>56031</xdr:rowOff>
    </xdr:from>
    <xdr:to>
      <xdr:col>11</xdr:col>
      <xdr:colOff>908</xdr:colOff>
      <xdr:row>2</xdr:row>
      <xdr:rowOff>211008</xdr:rowOff>
    </xdr:to>
    <xdr:pic>
      <xdr:nvPicPr>
        <xdr:cNvPr id="13" name="Picture 12" descr="Image result for nswis white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2799" b="31194"/>
        <a:stretch/>
      </xdr:blipFill>
      <xdr:spPr bwMode="auto">
        <a:xfrm>
          <a:off x="5793441" y="56031"/>
          <a:ext cx="1536114" cy="6180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23430</xdr:colOff>
      <xdr:row>14</xdr:row>
      <xdr:rowOff>29541</xdr:rowOff>
    </xdr:from>
    <xdr:to>
      <xdr:col>10</xdr:col>
      <xdr:colOff>479730</xdr:colOff>
      <xdr:row>39</xdr:row>
      <xdr:rowOff>121416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320387</xdr:colOff>
      <xdr:row>92</xdr:row>
      <xdr:rowOff>161924</xdr:rowOff>
    </xdr:from>
    <xdr:to>
      <xdr:col>10</xdr:col>
      <xdr:colOff>510437</xdr:colOff>
      <xdr:row>108</xdr:row>
      <xdr:rowOff>91124</xdr:rowOff>
    </xdr:to>
    <xdr:graphicFrame macro="">
      <xdr:nvGraphicFramePr>
        <xdr:cNvPr id="18" name="Chart 9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322984</xdr:colOff>
      <xdr:row>136</xdr:row>
      <xdr:rowOff>25978</xdr:rowOff>
    </xdr:from>
    <xdr:to>
      <xdr:col>10</xdr:col>
      <xdr:colOff>513034</xdr:colOff>
      <xdr:row>152</xdr:row>
      <xdr:rowOff>125860</xdr:rowOff>
    </xdr:to>
    <xdr:graphicFrame macro="">
      <xdr:nvGraphicFramePr>
        <xdr:cNvPr id="19" name="Chart 5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323849</xdr:colOff>
      <xdr:row>154</xdr:row>
      <xdr:rowOff>29441</xdr:rowOff>
    </xdr:from>
    <xdr:to>
      <xdr:col>10</xdr:col>
      <xdr:colOff>513899</xdr:colOff>
      <xdr:row>170</xdr:row>
      <xdr:rowOff>129323</xdr:rowOff>
    </xdr:to>
    <xdr:graphicFrame macro="">
      <xdr:nvGraphicFramePr>
        <xdr:cNvPr id="14" name="Chart 6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322118</xdr:colOff>
      <xdr:row>172</xdr:row>
      <xdr:rowOff>38914</xdr:rowOff>
    </xdr:from>
    <xdr:to>
      <xdr:col>11</xdr:col>
      <xdr:colOff>59</xdr:colOff>
      <xdr:row>188</xdr:row>
      <xdr:rowOff>138797</xdr:rowOff>
    </xdr:to>
    <xdr:graphicFrame macro="">
      <xdr:nvGraphicFramePr>
        <xdr:cNvPr id="15" name="Chart 7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26015</xdr:colOff>
      <xdr:row>14</xdr:row>
      <xdr:rowOff>42429</xdr:rowOff>
    </xdr:from>
    <xdr:to>
      <xdr:col>10</xdr:col>
      <xdr:colOff>482315</xdr:colOff>
      <xdr:row>39</xdr:row>
      <xdr:rowOff>134304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22410</xdr:colOff>
      <xdr:row>136</xdr:row>
      <xdr:rowOff>27534</xdr:rowOff>
    </xdr:from>
    <xdr:to>
      <xdr:col>5</xdr:col>
      <xdr:colOff>288660</xdr:colOff>
      <xdr:row>152</xdr:row>
      <xdr:rowOff>136071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23529</xdr:colOff>
      <xdr:row>154</xdr:row>
      <xdr:rowOff>25211</xdr:rowOff>
    </xdr:from>
    <xdr:to>
      <xdr:col>5</xdr:col>
      <xdr:colOff>289779</xdr:colOff>
      <xdr:row>170</xdr:row>
      <xdr:rowOff>123264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426720</xdr:colOff>
          <xdr:row>6</xdr:row>
          <xdr:rowOff>22860</xdr:rowOff>
        </xdr:from>
        <xdr:to>
          <xdr:col>15</xdr:col>
          <xdr:colOff>388620</xdr:colOff>
          <xdr:row>10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322051</xdr:colOff>
      <xdr:row>136</xdr:row>
      <xdr:rowOff>24818</xdr:rowOff>
    </xdr:from>
    <xdr:to>
      <xdr:col>10</xdr:col>
      <xdr:colOff>512101</xdr:colOff>
      <xdr:row>152</xdr:row>
      <xdr:rowOff>134469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320335</xdr:colOff>
      <xdr:row>154</xdr:row>
      <xdr:rowOff>32883</xdr:rowOff>
    </xdr:from>
    <xdr:to>
      <xdr:col>10</xdr:col>
      <xdr:colOff>510385</xdr:colOff>
      <xdr:row>170</xdr:row>
      <xdr:rowOff>123264</xdr:rowOff>
    </xdr:to>
    <xdr:graphicFrame macro="">
      <xdr:nvGraphicFramePr>
        <xdr:cNvPr id="8" name="Chart 6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21846</xdr:colOff>
      <xdr:row>172</xdr:row>
      <xdr:rowOff>25218</xdr:rowOff>
    </xdr:from>
    <xdr:to>
      <xdr:col>5</xdr:col>
      <xdr:colOff>288096</xdr:colOff>
      <xdr:row>188</xdr:row>
      <xdr:rowOff>125101</xdr:rowOff>
    </xdr:to>
    <xdr:graphicFrame macro="">
      <xdr:nvGraphicFramePr>
        <xdr:cNvPr id="9" name="Chart 4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328842</xdr:colOff>
      <xdr:row>172</xdr:row>
      <xdr:rowOff>27567</xdr:rowOff>
    </xdr:from>
    <xdr:to>
      <xdr:col>10</xdr:col>
      <xdr:colOff>518892</xdr:colOff>
      <xdr:row>188</xdr:row>
      <xdr:rowOff>127450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22970</xdr:colOff>
      <xdr:row>106</xdr:row>
      <xdr:rowOff>4482</xdr:rowOff>
    </xdr:from>
    <xdr:to>
      <xdr:col>5</xdr:col>
      <xdr:colOff>289220</xdr:colOff>
      <xdr:row>121</xdr:row>
      <xdr:rowOff>95607</xdr:rowOff>
    </xdr:to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33618</xdr:colOff>
      <xdr:row>0</xdr:row>
      <xdr:rowOff>53306</xdr:rowOff>
    </xdr:from>
    <xdr:to>
      <xdr:col>2</xdr:col>
      <xdr:colOff>439607</xdr:colOff>
      <xdr:row>2</xdr:row>
      <xdr:rowOff>169254</xdr:rowOff>
    </xdr:to>
    <xdr:pic>
      <xdr:nvPicPr>
        <xdr:cNvPr id="12" name="Picture 11" descr="Image result for paddle nsw logo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colorTemperature colorTemp="6227"/>
                  </a14:imgEffect>
                  <a14:imgEffect>
                    <a14:saturation sat="0"/>
                  </a14:imgEffect>
                  <a14:imgEffect>
                    <a14:brightnessContrast bright="100000" contrast="1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8" y="53306"/>
          <a:ext cx="1641665" cy="58009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414617</xdr:colOff>
      <xdr:row>0</xdr:row>
      <xdr:rowOff>41193</xdr:rowOff>
    </xdr:from>
    <xdr:to>
      <xdr:col>11</xdr:col>
      <xdr:colOff>908</xdr:colOff>
      <xdr:row>2</xdr:row>
      <xdr:rowOff>187175</xdr:rowOff>
    </xdr:to>
    <xdr:pic>
      <xdr:nvPicPr>
        <xdr:cNvPr id="13" name="Picture 12" descr="Image result for nswis white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2799" b="31194"/>
        <a:stretch/>
      </xdr:blipFill>
      <xdr:spPr bwMode="auto">
        <a:xfrm>
          <a:off x="5357320" y="41193"/>
          <a:ext cx="1393466" cy="6196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326449</xdr:colOff>
      <xdr:row>106</xdr:row>
      <xdr:rowOff>2596</xdr:rowOff>
    </xdr:from>
    <xdr:to>
      <xdr:col>10</xdr:col>
      <xdr:colOff>516499</xdr:colOff>
      <xdr:row>121</xdr:row>
      <xdr:rowOff>93721</xdr:rowOff>
    </xdr:to>
    <xdr:graphicFrame macro="">
      <xdr:nvGraphicFramePr>
        <xdr:cNvPr id="15" name="Chart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2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5" tint="0.79998168889431442"/>
  </sheetPr>
  <dimension ref="A1:AE32"/>
  <sheetViews>
    <sheetView zoomScaleNormal="100" workbookViewId="0">
      <selection activeCell="D13" sqref="D13"/>
    </sheetView>
  </sheetViews>
  <sheetFormatPr defaultColWidth="9.109375" defaultRowHeight="11.4" x14ac:dyDescent="0.2"/>
  <cols>
    <col min="1" max="1" width="9.109375" style="2"/>
    <col min="2" max="2" width="9.6640625" style="2" bestFit="1" customWidth="1"/>
    <col min="3" max="3" width="10.33203125" style="2" customWidth="1"/>
    <col min="4" max="4" width="8.109375" style="2" customWidth="1"/>
    <col min="5" max="6" width="9.109375" style="2"/>
    <col min="7" max="16" width="9.109375" style="2" customWidth="1"/>
    <col min="17" max="16384" width="9.109375" style="2"/>
  </cols>
  <sheetData>
    <row r="1" spans="1:31" customFormat="1" ht="14.4" x14ac:dyDescent="0.3"/>
    <row r="2" spans="1:31" s="9" customFormat="1" ht="12" x14ac:dyDescent="0.25">
      <c r="B2" s="7" t="s">
        <v>98</v>
      </c>
      <c r="D2" s="268" t="s">
        <v>368</v>
      </c>
      <c r="E2" s="268"/>
      <c r="F2" s="8"/>
      <c r="M2" s="2"/>
      <c r="N2" s="2"/>
      <c r="O2" s="2"/>
      <c r="P2" s="2"/>
      <c r="Q2" s="10"/>
      <c r="R2" s="5"/>
      <c r="S2" s="11"/>
      <c r="T2" s="5"/>
      <c r="V2" s="11"/>
      <c r="W2" s="5"/>
      <c r="X2" s="2"/>
      <c r="Y2" s="2"/>
      <c r="Z2" s="2"/>
      <c r="AA2" s="2"/>
      <c r="AB2" s="2"/>
      <c r="AC2" s="2"/>
      <c r="AD2" s="2"/>
      <c r="AE2" s="2"/>
    </row>
    <row r="3" spans="1:31" s="9" customFormat="1" ht="15" customHeight="1" x14ac:dyDescent="0.25">
      <c r="B3" s="271" t="s">
        <v>106</v>
      </c>
      <c r="C3" s="271"/>
      <c r="D3" s="268" t="s">
        <v>368</v>
      </c>
      <c r="E3" s="268"/>
      <c r="F3" s="8"/>
      <c r="M3" s="2"/>
      <c r="N3" s="2"/>
      <c r="O3" s="2"/>
      <c r="P3" s="2"/>
      <c r="Q3" s="10"/>
      <c r="R3" s="5"/>
      <c r="S3" s="11"/>
      <c r="T3" s="5"/>
      <c r="V3" s="11"/>
      <c r="W3" s="5"/>
      <c r="X3" s="2"/>
      <c r="Y3" s="2"/>
      <c r="Z3" s="2"/>
      <c r="AA3" s="2"/>
      <c r="AB3" s="2"/>
      <c r="AC3" s="2"/>
      <c r="AD3" s="2"/>
      <c r="AE3" s="2"/>
    </row>
    <row r="4" spans="1:31" s="9" customFormat="1" ht="15" customHeight="1" x14ac:dyDescent="0.25">
      <c r="B4" s="271" t="s">
        <v>107</v>
      </c>
      <c r="C4" s="271"/>
      <c r="D4" s="268"/>
      <c r="E4" s="268"/>
      <c r="F4" s="8"/>
      <c r="M4" s="2"/>
      <c r="N4" s="2"/>
      <c r="O4" s="2"/>
      <c r="P4" s="2"/>
      <c r="Q4" s="10"/>
      <c r="R4" s="5"/>
      <c r="S4" s="11"/>
      <c r="T4" s="5"/>
      <c r="V4" s="11"/>
      <c r="W4" s="5"/>
      <c r="X4" s="2"/>
      <c r="Y4" s="2"/>
      <c r="Z4" s="2"/>
      <c r="AA4" s="2"/>
      <c r="AB4" s="2"/>
      <c r="AC4" s="2"/>
      <c r="AD4" s="2"/>
      <c r="AE4" s="2"/>
    </row>
    <row r="5" spans="1:31" ht="15" customHeight="1" x14ac:dyDescent="0.25">
      <c r="B5" s="271" t="s">
        <v>108</v>
      </c>
      <c r="C5" s="271"/>
      <c r="D5" s="268"/>
      <c r="E5" s="268"/>
      <c r="F5" s="8"/>
      <c r="Q5" s="10"/>
      <c r="R5" s="5"/>
      <c r="S5" s="11"/>
      <c r="T5" s="5"/>
      <c r="U5" s="9"/>
      <c r="V5" s="11"/>
      <c r="W5" s="5"/>
    </row>
    <row r="6" spans="1:31" ht="15" customHeight="1" x14ac:dyDescent="0.3">
      <c r="A6" s="8"/>
      <c r="B6" s="271" t="s">
        <v>109</v>
      </c>
      <c r="C6" s="271"/>
      <c r="D6" s="268"/>
      <c r="E6" s="268"/>
      <c r="F6" s="8"/>
      <c r="G6"/>
      <c r="H6"/>
      <c r="Q6" s="10"/>
      <c r="R6" s="5"/>
      <c r="S6" s="11"/>
      <c r="T6" s="5"/>
      <c r="U6" s="9"/>
      <c r="V6" s="11"/>
      <c r="W6" s="5"/>
    </row>
    <row r="7" spans="1:31" ht="20.25" customHeight="1" x14ac:dyDescent="0.3">
      <c r="B7" s="269" t="s">
        <v>290</v>
      </c>
      <c r="C7" s="269"/>
      <c r="D7" s="270">
        <v>43876</v>
      </c>
      <c r="E7" s="270"/>
      <c r="G7"/>
      <c r="H7"/>
      <c r="I7"/>
      <c r="J7"/>
      <c r="K7"/>
      <c r="Q7" s="10"/>
      <c r="R7" s="5"/>
      <c r="S7" s="11"/>
      <c r="T7" s="5"/>
      <c r="U7" s="9"/>
      <c r="V7" s="11"/>
      <c r="W7" s="5"/>
    </row>
    <row r="8" spans="1:31" ht="20.25" customHeight="1" x14ac:dyDescent="0.25">
      <c r="B8" s="284" t="s">
        <v>100</v>
      </c>
      <c r="C8" s="285"/>
      <c r="D8" s="282" t="s">
        <v>338</v>
      </c>
      <c r="E8" s="283"/>
      <c r="G8" s="281" t="s">
        <v>168</v>
      </c>
      <c r="H8" s="281"/>
      <c r="I8" s="281"/>
      <c r="J8" s="281"/>
      <c r="K8" s="9"/>
      <c r="O8" s="10"/>
      <c r="P8" s="5"/>
      <c r="Q8" s="11"/>
      <c r="R8" s="5"/>
      <c r="S8" s="9"/>
      <c r="T8" s="11"/>
      <c r="U8" s="5"/>
    </row>
    <row r="9" spans="1:31" ht="20.25" customHeight="1" x14ac:dyDescent="0.25">
      <c r="B9" s="279" t="s">
        <v>6</v>
      </c>
      <c r="C9" s="280"/>
      <c r="D9" s="282" t="s">
        <v>77</v>
      </c>
      <c r="E9" s="283"/>
      <c r="G9" s="81"/>
      <c r="H9" s="81"/>
      <c r="I9" s="81"/>
      <c r="J9" s="81"/>
      <c r="K9" s="9"/>
      <c r="O9" s="10"/>
      <c r="P9" s="5"/>
      <c r="Q9" s="11"/>
      <c r="R9" s="5"/>
      <c r="S9" s="5"/>
      <c r="T9" s="11"/>
      <c r="U9" s="5"/>
    </row>
    <row r="10" spans="1:31" ht="20.25" customHeight="1" x14ac:dyDescent="0.25">
      <c r="B10" s="279" t="s">
        <v>9</v>
      </c>
      <c r="C10" s="280"/>
      <c r="D10" s="282">
        <v>1000</v>
      </c>
      <c r="E10" s="283"/>
      <c r="G10" s="120" t="s">
        <v>171</v>
      </c>
      <c r="H10" s="120"/>
      <c r="I10" s="120" t="s">
        <v>172</v>
      </c>
      <c r="J10" s="120"/>
      <c r="K10" s="9"/>
      <c r="R10" s="5"/>
    </row>
    <row r="11" spans="1:31" ht="20.25" customHeight="1" x14ac:dyDescent="0.25">
      <c r="B11" s="279" t="s">
        <v>1</v>
      </c>
      <c r="C11" s="280"/>
      <c r="D11" s="282" t="s">
        <v>12</v>
      </c>
      <c r="E11" s="283"/>
      <c r="F11" s="14"/>
      <c r="G11" s="82" t="s">
        <v>169</v>
      </c>
      <c r="H11" s="82" t="s">
        <v>170</v>
      </c>
      <c r="I11" s="82" t="s">
        <v>169</v>
      </c>
      <c r="J11" s="82" t="s">
        <v>170</v>
      </c>
      <c r="K11" s="9"/>
      <c r="R11" s="5"/>
    </row>
    <row r="12" spans="1:31" ht="20.25" customHeight="1" x14ac:dyDescent="0.25">
      <c r="B12" s="277" t="s">
        <v>210</v>
      </c>
      <c r="C12" s="278"/>
      <c r="D12" s="282" t="s">
        <v>212</v>
      </c>
      <c r="E12" s="283"/>
      <c r="F12" s="14"/>
      <c r="G12" s="48">
        <f>CEILING($J$14-5, 0.5)</f>
        <v>12.5</v>
      </c>
      <c r="H12" s="48">
        <f>CEILING($J$14+2, 0.5)</f>
        <v>19.5</v>
      </c>
      <c r="I12" s="83">
        <f>VLOOKUP($G$14, 'Lookup Table'!D2:H32, 5, FALSE)</f>
        <v>80</v>
      </c>
      <c r="J12" s="83">
        <f>(VLOOKUP($G$14, 'Lookup Table'!D2:I32, 6, FALSE))</f>
        <v>140</v>
      </c>
      <c r="K12" s="9"/>
      <c r="L12" s="9"/>
      <c r="R12" s="5"/>
    </row>
    <row r="13" spans="1:31" ht="20.25" customHeight="1" x14ac:dyDescent="0.25">
      <c r="B13" s="275" t="s">
        <v>211</v>
      </c>
      <c r="C13" s="276"/>
      <c r="D13" s="189" t="s">
        <v>214</v>
      </c>
      <c r="E13" s="122">
        <f>IF(D13="SENIOR",1,IF(D13="U23",2,IF(D13="U18",3,IF(D13="U16",4))))</f>
        <v>1</v>
      </c>
      <c r="F13" s="14"/>
      <c r="G13" s="2" t="s">
        <v>226</v>
      </c>
      <c r="H13" s="79"/>
      <c r="I13" s="80"/>
      <c r="J13" s="80"/>
      <c r="K13" s="9"/>
      <c r="L13" s="9"/>
      <c r="R13" s="5"/>
    </row>
    <row r="14" spans="1:31" ht="20.25" customHeight="1" x14ac:dyDescent="0.25">
      <c r="A14" s="25"/>
      <c r="B14" s="1"/>
      <c r="D14" s="13"/>
      <c r="F14" s="14"/>
      <c r="G14" s="18" t="str">
        <f>LEFT(D12,1)&amp;"_"&amp;D11&amp;"_"&amp;D10</f>
        <v>M_K1_1000</v>
      </c>
      <c r="H14" s="78">
        <f>VLOOKUP($G$14, 'Lookup Table'!D2:G32, ($E$13+1), FALSE)</f>
        <v>2.3981799768518519E-3</v>
      </c>
      <c r="I14" s="79">
        <f>D10/(H14*86400)</f>
        <v>4.8261907720819339</v>
      </c>
      <c r="J14" s="9">
        <f>I14*3.6</f>
        <v>17.374286779494962</v>
      </c>
      <c r="L14" s="9"/>
      <c r="R14" s="5"/>
    </row>
    <row r="15" spans="1:31" ht="20.25" customHeight="1" x14ac:dyDescent="0.25">
      <c r="A15" s="25"/>
      <c r="B15" s="1"/>
      <c r="D15" s="13"/>
      <c r="F15" s="14"/>
      <c r="G15" s="9" t="str">
        <f>D11&amp;" "&amp;D10</f>
        <v>K1 1000</v>
      </c>
      <c r="H15" s="78"/>
      <c r="I15" s="79"/>
      <c r="J15" s="9"/>
      <c r="L15" s="9"/>
      <c r="M15" s="79"/>
      <c r="N15" s="79"/>
      <c r="O15" s="80"/>
      <c r="P15" s="80"/>
      <c r="T15" s="5"/>
    </row>
    <row r="16" spans="1:31" ht="20.25" customHeight="1" x14ac:dyDescent="0.25">
      <c r="A16" s="25"/>
      <c r="B16" s="1"/>
      <c r="D16" s="13"/>
      <c r="F16" s="14"/>
      <c r="K16" s="9"/>
      <c r="L16" s="9"/>
      <c r="M16" s="79"/>
      <c r="N16" s="79"/>
      <c r="O16" s="80"/>
      <c r="P16" s="80"/>
      <c r="T16" s="5"/>
    </row>
    <row r="17" spans="1:12" x14ac:dyDescent="0.2">
      <c r="A17" s="9"/>
      <c r="B17" s="9"/>
      <c r="C17" s="9"/>
      <c r="D17" s="9"/>
      <c r="E17" s="9"/>
    </row>
    <row r="18" spans="1:12" x14ac:dyDescent="0.2">
      <c r="A18" s="9"/>
      <c r="B18" s="28"/>
      <c r="C18" s="28"/>
      <c r="D18" s="28"/>
      <c r="E18" s="28"/>
    </row>
    <row r="19" spans="1:12" ht="12" x14ac:dyDescent="0.25">
      <c r="A19" s="274" t="s">
        <v>249</v>
      </c>
      <c r="B19" s="274"/>
      <c r="C19" s="274"/>
      <c r="D19" s="274"/>
      <c r="E19" s="274"/>
      <c r="F19" s="274"/>
      <c r="G19" s="274"/>
      <c r="H19" s="274"/>
      <c r="I19" s="274"/>
      <c r="J19" s="274"/>
      <c r="K19" s="274"/>
      <c r="L19" s="274"/>
    </row>
    <row r="20" spans="1:12" x14ac:dyDescent="0.2">
      <c r="D20" s="6"/>
      <c r="E20" s="6"/>
    </row>
    <row r="21" spans="1:12" ht="12" x14ac:dyDescent="0.25">
      <c r="A21" s="1" t="s">
        <v>190</v>
      </c>
      <c r="C21" s="272" t="s">
        <v>366</v>
      </c>
      <c r="D21" s="272"/>
      <c r="E21" s="272"/>
      <c r="F21" s="272"/>
      <c r="G21" s="272"/>
      <c r="H21" s="272"/>
      <c r="I21" s="272"/>
      <c r="J21" s="272"/>
    </row>
    <row r="22" spans="1:12" x14ac:dyDescent="0.2">
      <c r="C22" s="26"/>
      <c r="D22" s="6"/>
      <c r="E22" s="6"/>
    </row>
    <row r="23" spans="1:12" ht="13.8" x14ac:dyDescent="0.3">
      <c r="A23" s="1" t="s">
        <v>189</v>
      </c>
      <c r="C23" s="273" t="str">
        <f>CONCATENATE(D3,D4,D5,D6,"_",D8,"_",TEXT(D7,"yyyymmdd"),"_",LEFT(D12,1)&amp;D11,"_",D13, "_",D10)</f>
        <v>Fletcher Cunningham_Grand Prix 2_20200215_MK1_Senior_1000</v>
      </c>
      <c r="D23" s="273"/>
      <c r="E23" s="273"/>
      <c r="F23" s="273"/>
      <c r="G23" s="273"/>
      <c r="H23" s="273"/>
      <c r="I23" s="273"/>
      <c r="J23" s="273"/>
    </row>
    <row r="24" spans="1:12" x14ac:dyDescent="0.2">
      <c r="C24" s="26"/>
      <c r="D24" s="6"/>
      <c r="E24" s="6"/>
    </row>
    <row r="25" spans="1:12" ht="12" x14ac:dyDescent="0.25">
      <c r="A25" s="1" t="s">
        <v>191</v>
      </c>
      <c r="C25" s="272" t="s">
        <v>367</v>
      </c>
      <c r="D25" s="272"/>
      <c r="E25" s="272"/>
      <c r="F25" s="272"/>
      <c r="G25" s="272"/>
      <c r="H25" s="272"/>
      <c r="I25" s="272"/>
      <c r="J25" s="272"/>
    </row>
    <row r="26" spans="1:12" x14ac:dyDescent="0.2">
      <c r="C26" s="26"/>
      <c r="D26" s="6"/>
      <c r="E26" s="6"/>
    </row>
    <row r="27" spans="1:12" ht="14.4" x14ac:dyDescent="0.3">
      <c r="C27"/>
      <c r="D27"/>
      <c r="E27"/>
      <c r="F27"/>
      <c r="G27"/>
      <c r="H27"/>
      <c r="I27"/>
      <c r="J27"/>
    </row>
    <row r="28" spans="1:12" ht="14.4" x14ac:dyDescent="0.3">
      <c r="C28"/>
      <c r="D28"/>
      <c r="E28"/>
      <c r="F28"/>
      <c r="G28"/>
      <c r="H28"/>
      <c r="I28"/>
      <c r="J28"/>
    </row>
    <row r="29" spans="1:12" x14ac:dyDescent="0.2">
      <c r="C29" s="26"/>
      <c r="D29" s="6"/>
      <c r="E29" s="6"/>
    </row>
    <row r="30" spans="1:12" x14ac:dyDescent="0.2">
      <c r="C30" s="26"/>
      <c r="D30" s="6"/>
      <c r="E30" s="6"/>
    </row>
    <row r="31" spans="1:12" x14ac:dyDescent="0.2">
      <c r="C31" s="26"/>
      <c r="D31" s="6"/>
      <c r="E31" s="6"/>
    </row>
    <row r="32" spans="1:12" x14ac:dyDescent="0.2">
      <c r="C32" s="26"/>
      <c r="E32" s="6"/>
    </row>
  </sheetData>
  <mergeCells count="27">
    <mergeCell ref="B12:C12"/>
    <mergeCell ref="B11:C11"/>
    <mergeCell ref="B10:C10"/>
    <mergeCell ref="B9:C9"/>
    <mergeCell ref="G8:J8"/>
    <mergeCell ref="D8:E8"/>
    <mergeCell ref="D9:E9"/>
    <mergeCell ref="D10:E10"/>
    <mergeCell ref="D11:E11"/>
    <mergeCell ref="D12:E12"/>
    <mergeCell ref="B8:C8"/>
    <mergeCell ref="C25:J25"/>
    <mergeCell ref="C23:J23"/>
    <mergeCell ref="A19:L19"/>
    <mergeCell ref="C21:J21"/>
    <mergeCell ref="B13:C13"/>
    <mergeCell ref="D2:E2"/>
    <mergeCell ref="B7:C7"/>
    <mergeCell ref="D7:E7"/>
    <mergeCell ref="B5:C5"/>
    <mergeCell ref="B4:C4"/>
    <mergeCell ref="B3:C3"/>
    <mergeCell ref="D6:E6"/>
    <mergeCell ref="D5:E5"/>
    <mergeCell ref="D4:E4"/>
    <mergeCell ref="D3:E3"/>
    <mergeCell ref="B6:C6"/>
  </mergeCells>
  <dataValidations count="1">
    <dataValidation type="list" showInputMessage="1" showErrorMessage="1" sqref="D2:D6" xr:uid="{00000000-0002-0000-0000-000000000000}">
      <formula1>AthleteNames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4" name="Button 8">
              <controlPr defaultSize="0" print="0" autoFill="0" autoPict="0" macro="[0]!SaveAsFile">
                <anchor moveWithCells="1" sizeWithCells="1">
                  <from>
                    <xdr:col>11</xdr:col>
                    <xdr:colOff>83820</xdr:colOff>
                    <xdr:row>22</xdr:row>
                    <xdr:rowOff>30480</xdr:rowOff>
                  </from>
                  <to>
                    <xdr:col>13</xdr:col>
                    <xdr:colOff>60960</xdr:colOff>
                    <xdr:row>25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1000000}">
          <x14:formula1>
            <xm:f>'Lookup Table'!$AE$2:$AE$26</xm:f>
          </x14:formula1>
          <xm:sqref>D9:E9</xm:sqref>
        </x14:dataValidation>
        <x14:dataValidation type="list" allowBlank="1" showInputMessage="1" showErrorMessage="1" xr:uid="{00000000-0002-0000-0000-000002000000}">
          <x14:formula1>
            <xm:f>'Lookup Table'!$AL$2:$AL$4</xm:f>
          </x14:formula1>
          <xm:sqref>D10:E10</xm:sqref>
        </x14:dataValidation>
        <x14:dataValidation type="list" allowBlank="1" showInputMessage="1" showErrorMessage="1" xr:uid="{00000000-0002-0000-0000-000003000000}">
          <x14:formula1>
            <xm:f>'Lookup Table'!$R$2:$R$13</xm:f>
          </x14:formula1>
          <xm:sqref>D11:E11</xm:sqref>
        </x14:dataValidation>
        <x14:dataValidation type="list" allowBlank="1" showInputMessage="1" showErrorMessage="1" xr:uid="{00000000-0002-0000-0000-000004000000}">
          <x14:formula1>
            <xm:f>'Lookup Table'!$AW$2:$AW$3</xm:f>
          </x14:formula1>
          <xm:sqref>D12:E12</xm:sqref>
        </x14:dataValidation>
        <x14:dataValidation type="list" allowBlank="1" showInputMessage="1" showErrorMessage="1" xr:uid="{00000000-0002-0000-0000-000006000000}">
          <x14:formula1>
            <xm:f>'Lookup Table'!$AD$2:$AD$26</xm:f>
          </x14:formula1>
          <xm:sqref>D8:E8</xm:sqref>
        </x14:dataValidation>
        <x14:dataValidation type="list" allowBlank="1" showInputMessage="1" showErrorMessage="1" xr:uid="{00000000-0002-0000-0000-000005000000}">
          <x14:formula1>
            <xm:f>'Lookup Table'!$AX$2:$AX$6</xm:f>
          </x14:formula1>
          <xm:sqref>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8"/>
  </sheetPr>
  <dimension ref="A1:AE78"/>
  <sheetViews>
    <sheetView topLeftCell="A29" zoomScaleNormal="100" workbookViewId="0">
      <selection activeCell="A36" sqref="A36:F78"/>
    </sheetView>
  </sheetViews>
  <sheetFormatPr defaultColWidth="9.109375" defaultRowHeight="11.4" x14ac:dyDescent="0.2"/>
  <cols>
    <col min="1" max="1" width="9.109375" style="2"/>
    <col min="2" max="2" width="9.6640625" style="2" bestFit="1" customWidth="1"/>
    <col min="3" max="3" width="10.33203125" style="2" customWidth="1"/>
    <col min="4" max="4" width="8.109375" style="2" customWidth="1"/>
    <col min="5" max="6" width="9.109375" style="2"/>
    <col min="7" max="16" width="9.109375" style="2" customWidth="1"/>
    <col min="17" max="16384" width="9.109375" style="2"/>
  </cols>
  <sheetData>
    <row r="1" spans="1:31" s="33" customFormat="1" ht="12" x14ac:dyDescent="0.25">
      <c r="G1" s="288" t="s">
        <v>99</v>
      </c>
      <c r="H1" s="288"/>
      <c r="I1" s="288"/>
      <c r="J1" s="288"/>
      <c r="K1" s="288"/>
    </row>
    <row r="2" spans="1:31" s="33" customFormat="1" ht="12" x14ac:dyDescent="0.25">
      <c r="A2" s="291" t="s">
        <v>133</v>
      </c>
      <c r="B2" s="291"/>
      <c r="C2" s="291"/>
      <c r="D2" s="291"/>
      <c r="G2" s="288"/>
      <c r="H2" s="288"/>
      <c r="I2" s="288"/>
      <c r="J2" s="288"/>
      <c r="K2" s="288"/>
    </row>
    <row r="3" spans="1:31" s="33" customFormat="1" ht="12" x14ac:dyDescent="0.25">
      <c r="A3" s="291"/>
      <c r="B3" s="291"/>
      <c r="C3" s="291"/>
      <c r="D3" s="291"/>
      <c r="G3" s="40"/>
      <c r="H3" s="35"/>
    </row>
    <row r="4" spans="1:31" s="33" customFormat="1" ht="16.5" customHeight="1" x14ac:dyDescent="0.25">
      <c r="F4" s="30" t="s">
        <v>127</v>
      </c>
      <c r="G4" s="29"/>
      <c r="H4" s="35"/>
    </row>
    <row r="5" spans="1:31" s="9" customFormat="1" ht="12" x14ac:dyDescent="0.25">
      <c r="D5" s="8"/>
      <c r="E5" s="8"/>
      <c r="F5" s="34" t="s">
        <v>106</v>
      </c>
      <c r="G5" s="43" t="str">
        <f>'Event SetUp'!D3</f>
        <v>Fletcher Cunningham</v>
      </c>
      <c r="H5" s="29"/>
      <c r="Q5" s="10"/>
      <c r="R5" s="5"/>
      <c r="S5" s="11"/>
      <c r="T5" s="5"/>
      <c r="V5" s="11"/>
      <c r="W5" s="5"/>
      <c r="X5" s="2"/>
      <c r="Y5" s="2"/>
      <c r="Z5" s="2"/>
      <c r="AA5" s="2"/>
      <c r="AB5" s="2"/>
      <c r="AC5" s="2"/>
      <c r="AD5" s="2"/>
      <c r="AE5" s="2"/>
    </row>
    <row r="6" spans="1:31" s="9" customFormat="1" ht="11.85" customHeight="1" x14ac:dyDescent="0.25">
      <c r="A6" s="290" t="s">
        <v>131</v>
      </c>
      <c r="B6" s="290"/>
      <c r="C6" s="290"/>
      <c r="D6" s="290"/>
      <c r="E6" s="8"/>
      <c r="F6" s="34" t="s">
        <v>107</v>
      </c>
      <c r="G6" s="43">
        <f>'Event SetUp'!D4</f>
        <v>0</v>
      </c>
      <c r="H6" s="29"/>
      <c r="M6" s="2"/>
      <c r="N6" s="2"/>
      <c r="O6" s="2"/>
      <c r="P6" s="2"/>
      <c r="Q6" s="10"/>
      <c r="R6" s="5"/>
      <c r="S6" s="11"/>
      <c r="T6" s="5"/>
      <c r="V6" s="11"/>
      <c r="W6" s="5"/>
      <c r="X6" s="2"/>
      <c r="Y6" s="2"/>
      <c r="Z6" s="2"/>
      <c r="AA6" s="2"/>
      <c r="AB6" s="2"/>
      <c r="AC6" s="2"/>
      <c r="AD6" s="2"/>
      <c r="AE6" s="2"/>
    </row>
    <row r="7" spans="1:31" s="9" customFormat="1" ht="11.85" customHeight="1" x14ac:dyDescent="0.25">
      <c r="A7" s="290"/>
      <c r="B7" s="290"/>
      <c r="C7" s="290"/>
      <c r="D7" s="290"/>
      <c r="E7" s="8"/>
      <c r="F7" s="34" t="s">
        <v>108</v>
      </c>
      <c r="G7" s="43">
        <f>'Event SetUp'!D5</f>
        <v>0</v>
      </c>
      <c r="H7" s="29"/>
      <c r="M7" s="2"/>
      <c r="N7" s="2"/>
      <c r="O7" s="2"/>
      <c r="P7" s="2"/>
      <c r="Q7" s="10"/>
      <c r="R7" s="5"/>
      <c r="S7" s="11"/>
      <c r="T7" s="5"/>
      <c r="V7" s="11"/>
      <c r="W7" s="5"/>
      <c r="X7" s="2"/>
      <c r="Y7" s="2"/>
      <c r="Z7" s="2"/>
      <c r="AA7" s="2"/>
      <c r="AB7" s="2"/>
      <c r="AC7" s="2"/>
      <c r="AD7" s="2"/>
      <c r="AE7" s="2"/>
    </row>
    <row r="8" spans="1:31" s="9" customFormat="1" ht="12" x14ac:dyDescent="0.25">
      <c r="D8" s="8"/>
      <c r="E8" s="8"/>
      <c r="F8" s="34" t="s">
        <v>109</v>
      </c>
      <c r="G8" s="43">
        <f>'Event SetUp'!D6</f>
        <v>0</v>
      </c>
      <c r="H8" s="29"/>
      <c r="M8" s="2"/>
      <c r="N8" s="2"/>
      <c r="O8" s="2"/>
      <c r="P8" s="2"/>
      <c r="Q8" s="10"/>
      <c r="R8" s="5"/>
      <c r="S8" s="11"/>
      <c r="T8" s="5"/>
      <c r="V8" s="11"/>
      <c r="W8" s="5"/>
      <c r="X8" s="2"/>
      <c r="Y8" s="2"/>
      <c r="Z8" s="2"/>
      <c r="AA8" s="2"/>
      <c r="AB8" s="2"/>
      <c r="AC8" s="2"/>
      <c r="AD8" s="2"/>
      <c r="AE8" s="2"/>
    </row>
    <row r="9" spans="1:31" ht="12" x14ac:dyDescent="0.25">
      <c r="D9" s="8"/>
      <c r="E9" s="8"/>
      <c r="F9" s="8"/>
      <c r="G9" s="29"/>
      <c r="H9" s="29"/>
      <c r="Q9" s="10"/>
      <c r="R9" s="5"/>
      <c r="S9" s="11"/>
      <c r="T9" s="5"/>
      <c r="U9" s="9"/>
      <c r="V9" s="11"/>
      <c r="W9" s="5"/>
    </row>
    <row r="10" spans="1:31" ht="12" x14ac:dyDescent="0.25">
      <c r="A10" s="34"/>
      <c r="B10" s="39"/>
      <c r="D10" s="8"/>
      <c r="E10" s="8"/>
      <c r="F10" s="8"/>
      <c r="G10" s="29"/>
      <c r="H10" s="29"/>
      <c r="Q10" s="10"/>
      <c r="R10" s="5"/>
      <c r="S10" s="11"/>
      <c r="T10" s="5"/>
      <c r="U10" s="9"/>
      <c r="V10" s="11"/>
      <c r="W10" s="5"/>
    </row>
    <row r="11" spans="1:31" ht="13.8" x14ac:dyDescent="0.3">
      <c r="A11" s="289" t="s">
        <v>155</v>
      </c>
      <c r="B11" s="289"/>
      <c r="C11" s="289"/>
      <c r="D11" s="42" t="s">
        <v>126</v>
      </c>
      <c r="E11" s="32"/>
      <c r="F11" s="33"/>
      <c r="G11" s="35"/>
      <c r="H11" s="29"/>
      <c r="Q11" s="10"/>
      <c r="R11" s="5"/>
      <c r="S11" s="11"/>
      <c r="T11" s="5"/>
      <c r="U11" s="9"/>
      <c r="V11" s="11"/>
      <c r="W11" s="5"/>
    </row>
    <row r="12" spans="1:31" ht="20.25" customHeight="1" x14ac:dyDescent="0.3">
      <c r="A12" s="38"/>
      <c r="B12"/>
      <c r="C12" s="33"/>
      <c r="D12" s="287">
        <v>43876</v>
      </c>
      <c r="E12" s="287"/>
      <c r="F12" s="45"/>
      <c r="G12" s="44">
        <f>D12</f>
        <v>43876</v>
      </c>
      <c r="H12" s="29"/>
      <c r="J12" s="55"/>
      <c r="O12" s="56"/>
      <c r="Q12" s="10"/>
      <c r="R12" s="5"/>
      <c r="S12" s="11"/>
      <c r="T12" s="5"/>
      <c r="U12" s="54"/>
      <c r="V12" s="11"/>
      <c r="W12" s="5"/>
    </row>
    <row r="13" spans="1:31" ht="20.25" customHeight="1" x14ac:dyDescent="0.25">
      <c r="B13" s="9"/>
      <c r="F13" s="25"/>
      <c r="G13" s="37"/>
      <c r="H13" s="37"/>
      <c r="Q13" s="10"/>
      <c r="R13" s="5"/>
      <c r="S13" s="11"/>
      <c r="T13" s="5"/>
      <c r="U13" s="9"/>
      <c r="V13" s="11"/>
      <c r="W13" s="5"/>
    </row>
    <row r="14" spans="1:31" ht="20.25" customHeight="1" x14ac:dyDescent="0.25">
      <c r="B14" s="9"/>
      <c r="F14" s="25"/>
      <c r="G14" s="37"/>
      <c r="H14" s="37"/>
      <c r="Q14" s="10"/>
      <c r="R14" s="5"/>
      <c r="S14" s="11"/>
      <c r="T14" s="5"/>
      <c r="U14" s="5"/>
      <c r="V14" s="11"/>
      <c r="W14" s="5"/>
    </row>
    <row r="15" spans="1:31" ht="20.25" customHeight="1" x14ac:dyDescent="0.25">
      <c r="B15" s="9"/>
      <c r="D15" s="9" t="s">
        <v>102</v>
      </c>
      <c r="F15" s="25"/>
      <c r="G15" s="37"/>
      <c r="H15" s="37"/>
      <c r="T15" s="5"/>
    </row>
    <row r="16" spans="1:31" ht="20.25" customHeight="1" x14ac:dyDescent="0.25">
      <c r="B16" s="25"/>
      <c r="D16" s="13"/>
      <c r="F16" s="25"/>
      <c r="G16" s="37"/>
      <c r="H16" s="37"/>
      <c r="T16" s="5"/>
    </row>
    <row r="17" spans="1:20" ht="20.25" customHeight="1" x14ac:dyDescent="0.25">
      <c r="A17" s="15" t="s">
        <v>112</v>
      </c>
      <c r="B17" s="25"/>
      <c r="C17" s="18"/>
      <c r="D17" s="292" t="s">
        <v>14</v>
      </c>
      <c r="E17" s="292"/>
      <c r="F17" s="14"/>
      <c r="G17" s="36"/>
      <c r="H17" s="37"/>
      <c r="T17" s="5"/>
    </row>
    <row r="18" spans="1:20" ht="20.25" customHeight="1" x14ac:dyDescent="0.25">
      <c r="A18" s="15" t="s">
        <v>8</v>
      </c>
      <c r="B18" s="1"/>
      <c r="D18" s="292">
        <v>2</v>
      </c>
      <c r="E18" s="292"/>
      <c r="F18" s="16"/>
      <c r="G18" s="36"/>
      <c r="H18" s="37"/>
      <c r="T18" s="5"/>
    </row>
    <row r="19" spans="1:20" ht="20.25" customHeight="1" x14ac:dyDescent="0.25">
      <c r="A19" s="15" t="s">
        <v>103</v>
      </c>
      <c r="D19" s="293" t="s">
        <v>60</v>
      </c>
      <c r="E19" s="293"/>
      <c r="G19" s="36"/>
      <c r="H19" s="37"/>
    </row>
    <row r="20" spans="1:20" ht="20.25" customHeight="1" x14ac:dyDescent="0.25">
      <c r="A20" s="19" t="s">
        <v>104</v>
      </c>
      <c r="D20" s="293">
        <v>0</v>
      </c>
      <c r="E20" s="293"/>
      <c r="G20" s="36"/>
      <c r="H20" s="37"/>
    </row>
    <row r="21" spans="1:20" ht="20.25" customHeight="1" x14ac:dyDescent="0.25">
      <c r="A21" s="12" t="s">
        <v>113</v>
      </c>
      <c r="D21" s="293" t="s">
        <v>128</v>
      </c>
      <c r="E21" s="293"/>
      <c r="G21" s="36"/>
      <c r="H21" s="37"/>
    </row>
    <row r="22" spans="1:20" ht="20.100000000000001" customHeight="1" x14ac:dyDescent="0.25">
      <c r="A22" s="12" t="s">
        <v>120</v>
      </c>
      <c r="B22" s="27"/>
      <c r="D22" s="293" t="s">
        <v>117</v>
      </c>
      <c r="E22" s="293"/>
      <c r="G22" s="36"/>
      <c r="H22" s="37"/>
    </row>
    <row r="23" spans="1:20" ht="20.100000000000001" customHeight="1" x14ac:dyDescent="0.25">
      <c r="A23" s="31" t="s">
        <v>121</v>
      </c>
      <c r="D23" s="47">
        <v>2.6570601851851855E-3</v>
      </c>
      <c r="G23" s="36"/>
      <c r="H23" s="29"/>
      <c r="J23" s="27"/>
    </row>
    <row r="24" spans="1:20" ht="20.100000000000001" customHeight="1" x14ac:dyDescent="0.25">
      <c r="A24" s="31" t="s">
        <v>122</v>
      </c>
      <c r="D24" s="17">
        <v>2.4348379629629629E-3</v>
      </c>
      <c r="G24" s="36"/>
      <c r="H24" s="29"/>
    </row>
    <row r="25" spans="1:20" x14ac:dyDescent="0.2">
      <c r="G25" s="29"/>
      <c r="H25" s="29"/>
    </row>
    <row r="26" spans="1:20" ht="12" x14ac:dyDescent="0.25">
      <c r="A26" s="20" t="s">
        <v>105</v>
      </c>
      <c r="B26" s="21"/>
      <c r="C26" s="21"/>
      <c r="D26" s="22"/>
      <c r="E26" s="21"/>
      <c r="F26" s="21"/>
      <c r="G26" s="21"/>
      <c r="H26" s="21"/>
      <c r="I26" s="21"/>
      <c r="J26" s="21"/>
      <c r="K26" s="21"/>
      <c r="L26" s="21"/>
      <c r="M26" s="21"/>
    </row>
    <row r="27" spans="1:20" ht="12" x14ac:dyDescent="0.25">
      <c r="B27" s="1" t="s">
        <v>106</v>
      </c>
      <c r="C27" s="1" t="s">
        <v>107</v>
      </c>
      <c r="D27" s="1" t="s">
        <v>108</v>
      </c>
      <c r="E27" s="1" t="s">
        <v>109</v>
      </c>
    </row>
    <row r="28" spans="1:20" ht="24" x14ac:dyDescent="0.25">
      <c r="A28" s="23" t="s">
        <v>110</v>
      </c>
      <c r="B28" s="24"/>
      <c r="C28" s="24"/>
      <c r="D28" s="24"/>
      <c r="E28" s="24"/>
    </row>
    <row r="29" spans="1:20" ht="12" x14ac:dyDescent="0.25">
      <c r="A29" s="25"/>
      <c r="B29" s="9"/>
      <c r="C29" s="9"/>
      <c r="D29" s="9"/>
      <c r="E29" s="9"/>
    </row>
    <row r="30" spans="1:20" ht="24" x14ac:dyDescent="0.25">
      <c r="A30" s="23" t="s">
        <v>111</v>
      </c>
      <c r="B30" s="24"/>
      <c r="C30" s="24"/>
      <c r="D30" s="24"/>
      <c r="E30" s="24"/>
    </row>
    <row r="31" spans="1:20" x14ac:dyDescent="0.2">
      <c r="A31" s="4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</row>
    <row r="33" spans="1:23" x14ac:dyDescent="0.2">
      <c r="A33" s="294" t="s">
        <v>298</v>
      </c>
      <c r="B33" s="294"/>
      <c r="C33" s="294"/>
      <c r="D33" s="294"/>
      <c r="E33" s="294"/>
      <c r="F33" s="294"/>
    </row>
    <row r="34" spans="1:23" x14ac:dyDescent="0.2">
      <c r="A34" s="294"/>
      <c r="B34" s="294"/>
      <c r="C34" s="294"/>
      <c r="D34" s="294"/>
      <c r="E34" s="294"/>
      <c r="F34" s="294"/>
      <c r="J34" s="9"/>
      <c r="K34" s="9"/>
      <c r="L34" s="9"/>
      <c r="M34" s="9"/>
      <c r="N34" s="9"/>
    </row>
    <row r="35" spans="1:23" ht="12" x14ac:dyDescent="0.25">
      <c r="A35" s="294"/>
      <c r="B35" s="294"/>
      <c r="C35" s="294"/>
      <c r="D35" s="294"/>
      <c r="E35" s="294"/>
      <c r="F35" s="294"/>
      <c r="J35" s="9"/>
      <c r="K35" s="28"/>
      <c r="L35" s="28"/>
      <c r="M35" s="28"/>
      <c r="N35" s="28"/>
      <c r="R35" s="286" t="s">
        <v>248</v>
      </c>
      <c r="S35" s="286"/>
      <c r="T35" s="286"/>
      <c r="U35" s="286"/>
    </row>
    <row r="36" spans="1:23" ht="14.4" x14ac:dyDescent="0.3">
      <c r="A36" t="s">
        <v>101</v>
      </c>
      <c r="B36"/>
      <c r="C36" t="s">
        <v>132</v>
      </c>
      <c r="D36">
        <v>1000</v>
      </c>
      <c r="E36" t="s">
        <v>87</v>
      </c>
      <c r="F36" s="263">
        <v>2.6607638888888892E-3</v>
      </c>
      <c r="J36" t="str">
        <f>A36</f>
        <v>Race</v>
      </c>
      <c r="K36"/>
      <c r="L36" t="str">
        <f t="shared" ref="K36:O37" si="0">C36</f>
        <v>Dist</v>
      </c>
      <c r="M36">
        <f t="shared" si="0"/>
        <v>1000</v>
      </c>
      <c r="N36" t="str">
        <f t="shared" si="0"/>
        <v>Time</v>
      </c>
      <c r="O36" s="264">
        <f t="shared" si="0"/>
        <v>2.6607638888888892E-3</v>
      </c>
      <c r="R36" s="2" t="s">
        <v>257</v>
      </c>
      <c r="S36" s="2" t="s">
        <v>256</v>
      </c>
      <c r="T36" s="2" t="s">
        <v>258</v>
      </c>
      <c r="U36" s="2" t="s">
        <v>259</v>
      </c>
    </row>
    <row r="37" spans="1:23" ht="14.4" x14ac:dyDescent="0.3">
      <c r="A37" t="s">
        <v>362</v>
      </c>
      <c r="B37" t="s">
        <v>87</v>
      </c>
      <c r="C37" t="s">
        <v>363</v>
      </c>
      <c r="D37" t="s">
        <v>364</v>
      </c>
      <c r="E37" t="s">
        <v>365</v>
      </c>
      <c r="F37"/>
      <c r="J37" t="str">
        <f>A37</f>
        <v>Split</v>
      </c>
      <c r="K37" t="str">
        <f t="shared" si="0"/>
        <v>Time</v>
      </c>
      <c r="L37" t="str">
        <f t="shared" si="0"/>
        <v>Secs</v>
      </c>
      <c r="M37" t="str">
        <f t="shared" si="0"/>
        <v>Vel</v>
      </c>
      <c r="N37" t="str">
        <f t="shared" si="0"/>
        <v>SR</v>
      </c>
      <c r="O37"/>
      <c r="P37" s="2" t="s">
        <v>255</v>
      </c>
      <c r="R37" s="2">
        <f>AVERAGE(M38:M57)</f>
        <v>4.378440515913594</v>
      </c>
      <c r="S37" s="2">
        <f>AVERAGE(N38:N57)</f>
        <v>105.31299999999999</v>
      </c>
      <c r="T37" s="6">
        <f>AVERAGE(M40:M57)</f>
        <v>4.3162702982055592</v>
      </c>
      <c r="U37" s="6">
        <f>AVERAGE(N40:N57)</f>
        <v>102.18666666666667</v>
      </c>
      <c r="V37" s="2">
        <f>AVERAGE(P38:P57)</f>
        <v>48.464195344220734</v>
      </c>
      <c r="W37" s="6">
        <f>AVERAGE(P40:P57)</f>
        <v>47.594176193110528</v>
      </c>
    </row>
    <row r="38" spans="1:23" ht="14.4" x14ac:dyDescent="0.3">
      <c r="A38">
        <v>25</v>
      </c>
      <c r="B38">
        <v>6.63</v>
      </c>
      <c r="C38">
        <v>6.63</v>
      </c>
      <c r="D38">
        <v>3.77</v>
      </c>
      <c r="E38">
        <v>136.13</v>
      </c>
      <c r="F38"/>
      <c r="J38">
        <f>IF($A$77=1000,A39,A38)</f>
        <v>50</v>
      </c>
      <c r="K38">
        <f t="shared" ref="K38:N38" si="1">IF($A$77=1000,B39,B38)</f>
        <v>11</v>
      </c>
      <c r="L38">
        <f>IF($A$77=1000,C38+C39,C38)</f>
        <v>11</v>
      </c>
      <c r="M38">
        <f>IF($A$77=1000,50/L38,D38)</f>
        <v>4.5454545454545459</v>
      </c>
      <c r="N38">
        <f t="shared" si="1"/>
        <v>142.47999999999999</v>
      </c>
      <c r="O38"/>
      <c r="P38" s="2">
        <f>(M38^3)/(N38/60)</f>
        <v>39.548434915509787</v>
      </c>
      <c r="R38" s="2">
        <f t="shared" ref="R38:R57" si="2">M38-$R$37</f>
        <v>0.1670140295409519</v>
      </c>
      <c r="S38" s="2">
        <f t="shared" ref="S38:S57" si="3">N38-$S$37</f>
        <v>37.167000000000002</v>
      </c>
      <c r="V38" s="2">
        <f>P38-$V$37</f>
        <v>-8.9157604287109464</v>
      </c>
    </row>
    <row r="39" spans="1:23" ht="14.4" x14ac:dyDescent="0.3">
      <c r="A39">
        <v>50</v>
      </c>
      <c r="B39">
        <v>11</v>
      </c>
      <c r="C39">
        <v>4.37</v>
      </c>
      <c r="D39">
        <v>5.72</v>
      </c>
      <c r="E39">
        <v>142.47999999999999</v>
      </c>
      <c r="F39"/>
      <c r="J39">
        <f>IF($A$77=1000,A41,A39)</f>
        <v>100</v>
      </c>
      <c r="K39">
        <f>IF($A$77=1000,B41,B39)</f>
        <v>20.39</v>
      </c>
      <c r="L39">
        <f>IF($A$77=1000,C40+C41,C39)</f>
        <v>9.379999999999999</v>
      </c>
      <c r="M39">
        <f t="shared" ref="M39:M57" si="4">IF($A$77=1000,50/L39,D39)</f>
        <v>5.3304904051172715</v>
      </c>
      <c r="N39">
        <f t="shared" ref="N39" si="5">IF($A$77=1000,E41,E39)</f>
        <v>124.42</v>
      </c>
      <c r="O39"/>
      <c r="P39" s="2">
        <f t="shared" ref="P39:P57" si="6">(M39^3)/(N39/60)</f>
        <v>73.040300492915605</v>
      </c>
      <c r="R39" s="6">
        <f t="shared" si="2"/>
        <v>0.9520498892036775</v>
      </c>
      <c r="S39" s="2">
        <f t="shared" si="3"/>
        <v>19.107000000000014</v>
      </c>
      <c r="V39" s="2">
        <f>P39-$V$37</f>
        <v>24.576105148694872</v>
      </c>
    </row>
    <row r="40" spans="1:23" ht="14.4" x14ac:dyDescent="0.3">
      <c r="A40">
        <v>75</v>
      </c>
      <c r="B40">
        <v>15.64</v>
      </c>
      <c r="C40">
        <v>4.6399999999999997</v>
      </c>
      <c r="D40">
        <v>5.39</v>
      </c>
      <c r="E40">
        <v>131.38999999999999</v>
      </c>
      <c r="F40"/>
      <c r="J40">
        <f>IF($A$77=1000,A43,A40)</f>
        <v>150</v>
      </c>
      <c r="K40">
        <f t="shared" ref="K40:N40" si="7">IF($A$77=1000,B43,B40)</f>
        <v>30.18</v>
      </c>
      <c r="L40">
        <f>IF($A$77=1000,C42+C43,C40)</f>
        <v>9.7899999999999991</v>
      </c>
      <c r="M40">
        <f t="shared" si="4"/>
        <v>5.1072522982635347</v>
      </c>
      <c r="N40">
        <f t="shared" si="7"/>
        <v>116.88</v>
      </c>
      <c r="O40"/>
      <c r="P40" s="2">
        <f t="shared" si="6"/>
        <v>68.386910642271474</v>
      </c>
      <c r="R40" s="2">
        <f t="shared" si="2"/>
        <v>0.72881178234994071</v>
      </c>
      <c r="S40" s="2">
        <f t="shared" si="3"/>
        <v>11.567000000000007</v>
      </c>
      <c r="T40" s="6">
        <f t="shared" ref="T40:T57" si="8">M40-T$37</f>
        <v>0.79098200005797548</v>
      </c>
      <c r="U40" s="77">
        <f t="shared" ref="U40:U57" si="9">N40-U$37</f>
        <v>14.693333333333328</v>
      </c>
      <c r="V40" s="2">
        <f>P40-$V$37</f>
        <v>19.92271529805074</v>
      </c>
      <c r="W40" s="77">
        <f t="shared" ref="W40:W57" si="10">P40-W$37</f>
        <v>20.792734449160946</v>
      </c>
    </row>
    <row r="41" spans="1:23" ht="14.4" x14ac:dyDescent="0.3">
      <c r="A41">
        <v>100</v>
      </c>
      <c r="B41">
        <v>20.39</v>
      </c>
      <c r="C41">
        <v>4.74</v>
      </c>
      <c r="D41">
        <v>5.27</v>
      </c>
      <c r="E41">
        <v>124.42</v>
      </c>
      <c r="F41"/>
      <c r="J41">
        <f>IF($A$77=1000,A45,A41)</f>
        <v>200</v>
      </c>
      <c r="K41">
        <f t="shared" ref="K41:N41" si="11">IF($A$77=1000,B45,B41)</f>
        <v>40.43</v>
      </c>
      <c r="L41">
        <f>IF($A$77=1000,C44+C45,C41)</f>
        <v>10.239999999999998</v>
      </c>
      <c r="M41">
        <f t="shared" si="4"/>
        <v>4.8828125000000009</v>
      </c>
      <c r="N41">
        <f t="shared" si="11"/>
        <v>110.66</v>
      </c>
      <c r="O41"/>
      <c r="P41" s="2">
        <f t="shared" si="6"/>
        <v>63.120543191903955</v>
      </c>
      <c r="R41" s="2">
        <f t="shared" si="2"/>
        <v>0.50437198408640693</v>
      </c>
      <c r="S41" s="2">
        <f t="shared" si="3"/>
        <v>5.3470000000000084</v>
      </c>
      <c r="T41" s="6">
        <f t="shared" si="8"/>
        <v>0.5665422017944417</v>
      </c>
      <c r="U41" s="77">
        <f t="shared" si="9"/>
        <v>8.4733333333333292</v>
      </c>
      <c r="V41" s="2">
        <f t="shared" ref="V41:V57" si="12">P41-$V$37</f>
        <v>14.656347847683222</v>
      </c>
      <c r="W41" s="77">
        <f t="shared" si="10"/>
        <v>15.526366998793428</v>
      </c>
    </row>
    <row r="42" spans="1:23" ht="14.4" x14ac:dyDescent="0.3">
      <c r="A42">
        <v>125</v>
      </c>
      <c r="B42">
        <v>25.17</v>
      </c>
      <c r="C42">
        <v>4.78</v>
      </c>
      <c r="D42">
        <v>5.23</v>
      </c>
      <c r="E42">
        <v>121.35</v>
      </c>
      <c r="F42"/>
      <c r="J42">
        <f>IF($A$77=1000,A47,A42)</f>
        <v>250</v>
      </c>
      <c r="K42">
        <f t="shared" ref="K42:N42" si="13">IF($A$77=1000,B47,B42)</f>
        <v>51.19</v>
      </c>
      <c r="L42">
        <f>IF($A$77=1000,C46+C47,C42)</f>
        <v>10.76</v>
      </c>
      <c r="M42">
        <f t="shared" si="4"/>
        <v>4.6468401486988853</v>
      </c>
      <c r="N42">
        <f t="shared" si="13"/>
        <v>109.09</v>
      </c>
      <c r="O42"/>
      <c r="P42" s="2">
        <f t="shared" si="6"/>
        <v>55.187345824650464</v>
      </c>
      <c r="R42" s="2">
        <f t="shared" si="2"/>
        <v>0.26839963278529133</v>
      </c>
      <c r="S42" s="2">
        <f t="shared" si="3"/>
        <v>3.7770000000000152</v>
      </c>
      <c r="T42" s="6">
        <f t="shared" si="8"/>
        <v>0.3305698504933261</v>
      </c>
      <c r="U42" s="77">
        <f t="shared" si="9"/>
        <v>6.903333333333336</v>
      </c>
      <c r="V42" s="2">
        <f t="shared" si="12"/>
        <v>6.7231504804297302</v>
      </c>
      <c r="W42" s="77">
        <f t="shared" si="10"/>
        <v>7.5931696315399364</v>
      </c>
    </row>
    <row r="43" spans="1:23" ht="14.4" x14ac:dyDescent="0.3">
      <c r="A43">
        <v>150</v>
      </c>
      <c r="B43">
        <v>30.18</v>
      </c>
      <c r="C43">
        <v>5.01</v>
      </c>
      <c r="D43">
        <v>4.99</v>
      </c>
      <c r="E43">
        <v>116.88</v>
      </c>
      <c r="F43"/>
      <c r="J43">
        <f>IF($A$77=1000,A49,A43)</f>
        <v>300</v>
      </c>
      <c r="K43">
        <f t="shared" ref="K43:N43" si="14">IF($A$77=1000,B49,B43)</f>
        <v>7.2372685185185181E-4</v>
      </c>
      <c r="L43">
        <f>IF($A$77=1000,C48+C49,C43)</f>
        <v>11.34</v>
      </c>
      <c r="M43">
        <f t="shared" si="4"/>
        <v>4.4091710758377429</v>
      </c>
      <c r="N43">
        <f t="shared" si="14"/>
        <v>104.45</v>
      </c>
      <c r="O43"/>
      <c r="P43" s="2">
        <f t="shared" si="6"/>
        <v>49.239502397299439</v>
      </c>
      <c r="R43" s="2">
        <f t="shared" si="2"/>
        <v>3.073055992414897E-2</v>
      </c>
      <c r="S43" s="2">
        <f t="shared" si="3"/>
        <v>-0.86299999999998533</v>
      </c>
      <c r="T43" s="6">
        <f t="shared" si="8"/>
        <v>9.290077763218374E-2</v>
      </c>
      <c r="U43" s="77">
        <f t="shared" si="9"/>
        <v>2.2633333333333354</v>
      </c>
      <c r="V43" s="2">
        <f t="shared" si="12"/>
        <v>0.77530705307870562</v>
      </c>
      <c r="W43" s="77">
        <f t="shared" si="10"/>
        <v>1.6453262041889118</v>
      </c>
    </row>
    <row r="44" spans="1:23" ht="14.4" x14ac:dyDescent="0.3">
      <c r="A44">
        <v>175</v>
      </c>
      <c r="B44">
        <v>35.25</v>
      </c>
      <c r="C44">
        <v>5.0599999999999996</v>
      </c>
      <c r="D44">
        <v>4.9400000000000004</v>
      </c>
      <c r="E44">
        <v>112.15</v>
      </c>
      <c r="F44"/>
      <c r="J44">
        <f>IF($A$77=1000,A51,A44)</f>
        <v>350</v>
      </c>
      <c r="K44">
        <f t="shared" ref="K44:N44" si="15">IF($A$77=1000,B51,B44)</f>
        <v>8.564814814814815E-4</v>
      </c>
      <c r="L44">
        <f>IF($A$77=1000,C50+C51,C44)</f>
        <v>11.469999999999999</v>
      </c>
      <c r="M44">
        <f t="shared" si="4"/>
        <v>4.3591979075850045</v>
      </c>
      <c r="N44">
        <f t="shared" si="15"/>
        <v>99.17</v>
      </c>
      <c r="O44"/>
      <c r="P44" s="2">
        <f t="shared" si="6"/>
        <v>50.117649720650398</v>
      </c>
      <c r="R44" s="2">
        <f t="shared" si="2"/>
        <v>-1.9242608328589483E-2</v>
      </c>
      <c r="S44" s="2">
        <f t="shared" si="3"/>
        <v>-6.1429999999999865</v>
      </c>
      <c r="T44" s="6">
        <f t="shared" si="8"/>
        <v>4.2927609379445286E-2</v>
      </c>
      <c r="U44" s="77">
        <f t="shared" si="9"/>
        <v>-3.0166666666666657</v>
      </c>
      <c r="V44" s="2">
        <f t="shared" si="12"/>
        <v>1.6534543764296643</v>
      </c>
      <c r="W44" s="77">
        <f t="shared" si="10"/>
        <v>2.5234735275398705</v>
      </c>
    </row>
    <row r="45" spans="1:23" ht="14.4" x14ac:dyDescent="0.3">
      <c r="A45">
        <v>200</v>
      </c>
      <c r="B45">
        <v>40.43</v>
      </c>
      <c r="C45">
        <v>5.18</v>
      </c>
      <c r="D45">
        <v>4.83</v>
      </c>
      <c r="E45">
        <v>110.66</v>
      </c>
      <c r="F45"/>
      <c r="J45">
        <f>IF($A$77=1000,A53,A45)</f>
        <v>400</v>
      </c>
      <c r="K45">
        <f t="shared" ref="K45:N45" si="16">IF($A$77=1000,B53,B45)</f>
        <v>9.9409722222222217E-4</v>
      </c>
      <c r="L45">
        <f>IF($A$77=1000,C52+C53,C45)</f>
        <v>11.88</v>
      </c>
      <c r="M45">
        <f>IF($A$77=1000,50/L45,D45)</f>
        <v>4.2087542087542085</v>
      </c>
      <c r="N45">
        <f t="shared" si="16"/>
        <v>98.54</v>
      </c>
      <c r="O45"/>
      <c r="P45" s="2">
        <f t="shared" si="6"/>
        <v>45.394097227876131</v>
      </c>
      <c r="R45" s="2">
        <f t="shared" si="2"/>
        <v>-0.16968630715938549</v>
      </c>
      <c r="S45" s="2">
        <f t="shared" si="3"/>
        <v>-6.7729999999999819</v>
      </c>
      <c r="T45" s="6">
        <f t="shared" si="8"/>
        <v>-0.10751608945135072</v>
      </c>
      <c r="U45" s="77">
        <f t="shared" si="9"/>
        <v>-3.6466666666666612</v>
      </c>
      <c r="V45" s="2">
        <f t="shared" si="12"/>
        <v>-3.0700981163446031</v>
      </c>
      <c r="W45" s="77">
        <f t="shared" si="10"/>
        <v>-2.2000789652343968</v>
      </c>
    </row>
    <row r="46" spans="1:23" ht="14.4" x14ac:dyDescent="0.3">
      <c r="A46">
        <v>225</v>
      </c>
      <c r="B46">
        <v>45.84</v>
      </c>
      <c r="C46">
        <v>5.41</v>
      </c>
      <c r="D46">
        <v>4.62</v>
      </c>
      <c r="E46">
        <v>110.88</v>
      </c>
      <c r="F46"/>
      <c r="J46">
        <f>IF($A$77=1000,A55,A46)</f>
        <v>450</v>
      </c>
      <c r="K46">
        <f t="shared" ref="K46:N46" si="17">IF($A$77=1000,B55,B46)</f>
        <v>1.1337962962962964E-3</v>
      </c>
      <c r="L46">
        <f>IF($A$77=1000,C54+C55,C46)</f>
        <v>12.07</v>
      </c>
      <c r="M46">
        <f t="shared" si="4"/>
        <v>4.1425020712510356</v>
      </c>
      <c r="N46">
        <f t="shared" si="17"/>
        <v>98.18</v>
      </c>
      <c r="O46"/>
      <c r="P46" s="2">
        <f t="shared" si="6"/>
        <v>43.442661603535093</v>
      </c>
      <c r="R46" s="2">
        <f t="shared" si="2"/>
        <v>-0.23593844466255831</v>
      </c>
      <c r="S46" s="2">
        <f t="shared" si="3"/>
        <v>-7.1329999999999814</v>
      </c>
      <c r="T46" s="6">
        <f t="shared" si="8"/>
        <v>-0.17376822695452354</v>
      </c>
      <c r="U46" s="77">
        <f t="shared" si="9"/>
        <v>-4.0066666666666606</v>
      </c>
      <c r="V46" s="2">
        <f t="shared" si="12"/>
        <v>-5.0215337406856406</v>
      </c>
      <c r="W46" s="77">
        <f t="shared" si="10"/>
        <v>-4.1515145895754344</v>
      </c>
    </row>
    <row r="47" spans="1:23" ht="14.4" x14ac:dyDescent="0.3">
      <c r="A47">
        <v>250</v>
      </c>
      <c r="B47">
        <v>51.19</v>
      </c>
      <c r="C47">
        <v>5.35</v>
      </c>
      <c r="D47">
        <v>4.67</v>
      </c>
      <c r="E47">
        <v>109.09</v>
      </c>
      <c r="F47"/>
      <c r="J47">
        <f>IF($A$77=1000,A57,A47)</f>
        <v>500</v>
      </c>
      <c r="K47">
        <f t="shared" ref="K47:N47" si="18">IF($A$77=1000,B57,B47)</f>
        <v>1.2726851851851851E-3</v>
      </c>
      <c r="L47">
        <f>IF($A$77=1000,C56+C57,C47)</f>
        <v>12.01</v>
      </c>
      <c r="M47">
        <f t="shared" si="4"/>
        <v>4.1631973355537051</v>
      </c>
      <c r="N47">
        <f t="shared" si="18"/>
        <v>99.08</v>
      </c>
      <c r="O47"/>
      <c r="P47" s="2">
        <f t="shared" si="6"/>
        <v>43.696458848789717</v>
      </c>
      <c r="R47" s="2">
        <f t="shared" si="2"/>
        <v>-0.21524318035988887</v>
      </c>
      <c r="S47" s="2">
        <f t="shared" si="3"/>
        <v>-6.2329999999999899</v>
      </c>
      <c r="T47" s="6">
        <f t="shared" si="8"/>
        <v>-0.15307296265185411</v>
      </c>
      <c r="U47" s="77">
        <f t="shared" si="9"/>
        <v>-3.1066666666666691</v>
      </c>
      <c r="V47" s="2">
        <f t="shared" si="12"/>
        <v>-4.7677364954310164</v>
      </c>
      <c r="W47" s="77">
        <f t="shared" si="10"/>
        <v>-3.8977173443208102</v>
      </c>
    </row>
    <row r="48" spans="1:23" ht="14.4" x14ac:dyDescent="0.3">
      <c r="A48">
        <v>275</v>
      </c>
      <c r="B48" s="263">
        <v>56.71</v>
      </c>
      <c r="C48">
        <v>5.52</v>
      </c>
      <c r="D48">
        <v>4.53</v>
      </c>
      <c r="E48">
        <v>107.36</v>
      </c>
      <c r="F48"/>
      <c r="J48">
        <f>IF($A$77=1000,A59,A48)</f>
        <v>550</v>
      </c>
      <c r="K48">
        <f t="shared" ref="K48:N48" si="19">IF($A$77=1000,B59,B48)</f>
        <v>1.4113425925925925E-3</v>
      </c>
      <c r="L48">
        <f>IF($A$77=1000,C58+C59,C48)</f>
        <v>11.98</v>
      </c>
      <c r="M48">
        <f t="shared" si="4"/>
        <v>4.1736227045075127</v>
      </c>
      <c r="N48">
        <f t="shared" si="19"/>
        <v>98.36</v>
      </c>
      <c r="O48"/>
      <c r="P48" s="2">
        <f t="shared" si="6"/>
        <v>44.347821330540242</v>
      </c>
      <c r="R48" s="2">
        <f t="shared" si="2"/>
        <v>-0.20481781140608124</v>
      </c>
      <c r="S48" s="2">
        <f t="shared" si="3"/>
        <v>-6.9529999999999887</v>
      </c>
      <c r="T48" s="6">
        <f t="shared" si="8"/>
        <v>-0.14264759369804647</v>
      </c>
      <c r="U48" s="77">
        <f t="shared" si="9"/>
        <v>-3.826666666666668</v>
      </c>
      <c r="V48" s="2">
        <f t="shared" si="12"/>
        <v>-4.1163740136804918</v>
      </c>
      <c r="W48" s="77">
        <f t="shared" si="10"/>
        <v>-3.2463548625702856</v>
      </c>
    </row>
    <row r="49" spans="1:23" ht="14.4" x14ac:dyDescent="0.3">
      <c r="A49">
        <v>300</v>
      </c>
      <c r="B49" s="263">
        <v>7.2372685185185181E-4</v>
      </c>
      <c r="C49">
        <v>5.82</v>
      </c>
      <c r="D49">
        <v>4.29</v>
      </c>
      <c r="E49">
        <v>104.45</v>
      </c>
      <c r="F49"/>
      <c r="J49">
        <f>IF($A$77=1000,A61,A49)</f>
        <v>600</v>
      </c>
      <c r="K49">
        <f t="shared" ref="K49:N49" si="20">IF($A$77=1000,B61,B49)</f>
        <v>1.5505787037037035E-3</v>
      </c>
      <c r="L49">
        <f>IF($A$77=1000,C60+C61,C49)</f>
        <v>12.030000000000001</v>
      </c>
      <c r="M49">
        <f t="shared" si="4"/>
        <v>4.1562759767248538</v>
      </c>
      <c r="N49">
        <f t="shared" si="20"/>
        <v>99.82</v>
      </c>
      <c r="O49" s="265"/>
      <c r="P49" s="2">
        <f t="shared" si="6"/>
        <v>43.156559599548856</v>
      </c>
      <c r="R49" s="2">
        <f t="shared" si="2"/>
        <v>-0.22216453918874013</v>
      </c>
      <c r="S49" s="2">
        <f t="shared" si="3"/>
        <v>-5.492999999999995</v>
      </c>
      <c r="T49" s="6">
        <f t="shared" si="8"/>
        <v>-0.15999432148070536</v>
      </c>
      <c r="U49" s="77">
        <f t="shared" si="9"/>
        <v>-2.3666666666666742</v>
      </c>
      <c r="V49" s="2">
        <f t="shared" si="12"/>
        <v>-5.3076357446718774</v>
      </c>
      <c r="W49" s="77">
        <f t="shared" si="10"/>
        <v>-4.4376165935616712</v>
      </c>
    </row>
    <row r="50" spans="1:23" ht="14.4" x14ac:dyDescent="0.3">
      <c r="A50">
        <v>325</v>
      </c>
      <c r="B50" s="263">
        <v>7.8831018518518519E-4</v>
      </c>
      <c r="C50">
        <v>5.58</v>
      </c>
      <c r="D50">
        <v>4.4800000000000004</v>
      </c>
      <c r="E50">
        <v>100.75</v>
      </c>
      <c r="F50"/>
      <c r="J50">
        <f>IF($A$77=1000,A63,A50)</f>
        <v>650</v>
      </c>
      <c r="K50">
        <f t="shared" ref="K50:N50" si="21">IF($A$77=1000,B63,B50)</f>
        <v>1.6812500000000002E-3</v>
      </c>
      <c r="L50">
        <f>IF($A$77=1000,C62+C63,C50)</f>
        <v>11.3</v>
      </c>
      <c r="M50">
        <f t="shared" si="4"/>
        <v>4.4247787610619467</v>
      </c>
      <c r="N50">
        <f t="shared" si="21"/>
        <v>101.12</v>
      </c>
      <c r="O50" s="265"/>
      <c r="P50" s="2">
        <f t="shared" si="6"/>
        <v>51.403048032859132</v>
      </c>
      <c r="R50" s="2">
        <f t="shared" si="2"/>
        <v>4.6338245148352719E-2</v>
      </c>
      <c r="S50" s="2">
        <f t="shared" si="3"/>
        <v>-4.1929999999999836</v>
      </c>
      <c r="T50" s="6">
        <f t="shared" si="8"/>
        <v>0.10850846285638749</v>
      </c>
      <c r="U50" s="77">
        <f t="shared" si="9"/>
        <v>-1.0666666666666629</v>
      </c>
      <c r="V50" s="2">
        <f t="shared" si="12"/>
        <v>2.9388526886383985</v>
      </c>
      <c r="W50" s="77">
        <f t="shared" si="10"/>
        <v>3.8088718397486048</v>
      </c>
    </row>
    <row r="51" spans="1:23" ht="14.4" x14ac:dyDescent="0.3">
      <c r="A51">
        <v>350</v>
      </c>
      <c r="B51" s="263">
        <v>8.564814814814815E-4</v>
      </c>
      <c r="C51">
        <v>5.89</v>
      </c>
      <c r="D51">
        <v>4.24</v>
      </c>
      <c r="E51">
        <v>99.17</v>
      </c>
      <c r="F51"/>
      <c r="J51">
        <f>IF($A$77=1000,A65,A51)</f>
        <v>700</v>
      </c>
      <c r="K51">
        <f t="shared" ref="K51:N51" si="22">IF($A$77=1000,B65,B51)</f>
        <v>1.8175925925925927E-3</v>
      </c>
      <c r="L51">
        <f>IF($A$77=1000,C64+C65,C51)</f>
        <v>11.77</v>
      </c>
      <c r="M51">
        <f t="shared" si="4"/>
        <v>4.2480883602378929</v>
      </c>
      <c r="N51">
        <f t="shared" si="22"/>
        <v>99.63</v>
      </c>
      <c r="O51" s="265"/>
      <c r="P51" s="2">
        <f t="shared" si="6"/>
        <v>46.168072632688279</v>
      </c>
      <c r="R51" s="2">
        <f t="shared" si="2"/>
        <v>-0.13035215567570102</v>
      </c>
      <c r="S51" s="2">
        <f t="shared" si="3"/>
        <v>-5.6829999999999927</v>
      </c>
      <c r="T51" s="6">
        <f t="shared" si="8"/>
        <v>-6.8181937967666251E-2</v>
      </c>
      <c r="U51" s="77">
        <f t="shared" si="9"/>
        <v>-2.556666666666672</v>
      </c>
      <c r="V51" s="2">
        <f t="shared" si="12"/>
        <v>-2.2961227115324547</v>
      </c>
      <c r="W51" s="77">
        <f t="shared" si="10"/>
        <v>-1.4261035604222485</v>
      </c>
    </row>
    <row r="52" spans="1:23" ht="14.4" x14ac:dyDescent="0.3">
      <c r="A52">
        <v>375</v>
      </c>
      <c r="B52" s="263">
        <v>9.2523148148148141E-4</v>
      </c>
      <c r="C52">
        <v>5.94</v>
      </c>
      <c r="D52">
        <v>4.21</v>
      </c>
      <c r="E52">
        <v>99.26</v>
      </c>
      <c r="F52"/>
      <c r="J52">
        <f>IF($A$77=1000,A67,A52)</f>
        <v>750</v>
      </c>
      <c r="K52">
        <f t="shared" ref="K52:N52" si="23">IF($A$77=1000,B67,B52)</f>
        <v>1.9600694444444444E-3</v>
      </c>
      <c r="L52">
        <f>IF($A$77=1000,C66+C67,C52)</f>
        <v>12.309999999999999</v>
      </c>
      <c r="M52">
        <f t="shared" si="4"/>
        <v>4.0617384240454921</v>
      </c>
      <c r="N52">
        <f t="shared" si="23"/>
        <v>103.05</v>
      </c>
      <c r="O52" s="265"/>
      <c r="P52" s="2">
        <f t="shared" si="6"/>
        <v>39.015673522236831</v>
      </c>
      <c r="R52" s="2">
        <f t="shared" si="2"/>
        <v>-0.31670209186810183</v>
      </c>
      <c r="S52" s="2">
        <f t="shared" si="3"/>
        <v>-2.262999999999991</v>
      </c>
      <c r="T52" s="6">
        <f t="shared" si="8"/>
        <v>-0.25453187416006706</v>
      </c>
      <c r="U52" s="77">
        <f t="shared" si="9"/>
        <v>0.86333333333332973</v>
      </c>
      <c r="V52" s="2">
        <f t="shared" si="12"/>
        <v>-9.4485218219839027</v>
      </c>
      <c r="W52" s="77">
        <f t="shared" si="10"/>
        <v>-8.5785026708736964</v>
      </c>
    </row>
    <row r="53" spans="1:23" ht="14.4" x14ac:dyDescent="0.3">
      <c r="A53">
        <v>400</v>
      </c>
      <c r="B53" s="263">
        <v>9.9409722222222217E-4</v>
      </c>
      <c r="C53">
        <v>5.94</v>
      </c>
      <c r="D53">
        <v>4.21</v>
      </c>
      <c r="E53">
        <v>98.54</v>
      </c>
      <c r="F53"/>
      <c r="J53">
        <f>IF($A$77=1000,A69,A53)</f>
        <v>800</v>
      </c>
      <c r="K53">
        <f t="shared" ref="K53:N53" si="24">IF($A$77=1000,B69,B53)</f>
        <v>2.0921296296296295E-3</v>
      </c>
      <c r="L53">
        <f>IF($A$77=1000,C68+C69,C53)</f>
        <v>11.41</v>
      </c>
      <c r="M53">
        <f t="shared" si="4"/>
        <v>4.3821209465381248</v>
      </c>
      <c r="N53">
        <f t="shared" si="24"/>
        <v>101.69</v>
      </c>
      <c r="O53" s="265"/>
      <c r="P53" s="2">
        <f t="shared" si="6"/>
        <v>49.650780831351206</v>
      </c>
      <c r="R53" s="2">
        <f t="shared" si="2"/>
        <v>3.6804306245308283E-3</v>
      </c>
      <c r="S53" s="2">
        <f t="shared" si="3"/>
        <v>-3.6229999999999905</v>
      </c>
      <c r="T53" s="6">
        <f t="shared" si="8"/>
        <v>6.5850648332565598E-2</v>
      </c>
      <c r="U53" s="77">
        <f t="shared" si="9"/>
        <v>-0.4966666666666697</v>
      </c>
      <c r="V53" s="2">
        <f t="shared" si="12"/>
        <v>1.186585487130472</v>
      </c>
      <c r="W53" s="77">
        <f t="shared" si="10"/>
        <v>2.0566046382406782</v>
      </c>
    </row>
    <row r="54" spans="1:23" ht="14.4" x14ac:dyDescent="0.3">
      <c r="A54">
        <v>425</v>
      </c>
      <c r="B54" s="263">
        <v>1.0637731481481481E-3</v>
      </c>
      <c r="C54">
        <v>6.02</v>
      </c>
      <c r="D54">
        <v>4.1500000000000004</v>
      </c>
      <c r="E54">
        <v>97.65</v>
      </c>
      <c r="F54"/>
      <c r="J54">
        <f>IF($A$77=1000,A71,A54)</f>
        <v>850</v>
      </c>
      <c r="K54">
        <f t="shared" ref="K54:N54" si="25">IF($A$77=1000,B71,B54)</f>
        <v>2.2229166666666669E-3</v>
      </c>
      <c r="L54">
        <f>IF($A$77=1000,C70+C71,C54)</f>
        <v>11.3</v>
      </c>
      <c r="M54">
        <f t="shared" si="4"/>
        <v>4.4247787610619467</v>
      </c>
      <c r="N54">
        <f t="shared" si="25"/>
        <v>101.31</v>
      </c>
      <c r="O54" s="265"/>
      <c r="P54" s="2">
        <f t="shared" si="6"/>
        <v>51.306645119758322</v>
      </c>
      <c r="R54" s="2">
        <f t="shared" si="2"/>
        <v>4.6338245148352719E-2</v>
      </c>
      <c r="S54" s="2">
        <f t="shared" si="3"/>
        <v>-4.0029999999999859</v>
      </c>
      <c r="T54" s="6">
        <f t="shared" si="8"/>
        <v>0.10850846285638749</v>
      </c>
      <c r="U54" s="77">
        <f t="shared" si="9"/>
        <v>-0.87666666666666515</v>
      </c>
      <c r="V54" s="2">
        <f t="shared" si="12"/>
        <v>2.8424497755375882</v>
      </c>
      <c r="W54" s="77">
        <f t="shared" si="10"/>
        <v>3.7124689266477944</v>
      </c>
    </row>
    <row r="55" spans="1:23" ht="14.4" x14ac:dyDescent="0.3">
      <c r="A55">
        <v>450</v>
      </c>
      <c r="B55" s="263">
        <v>1.1337962962962964E-3</v>
      </c>
      <c r="C55">
        <v>6.05</v>
      </c>
      <c r="D55">
        <v>4.13</v>
      </c>
      <c r="E55">
        <v>98.18</v>
      </c>
      <c r="F55"/>
      <c r="J55">
        <f>IF($A$77=1000,A73,A55)</f>
        <v>900</v>
      </c>
      <c r="K55">
        <f t="shared" ref="K55:N55" si="26">IF($A$77=1000,B73,B55)</f>
        <v>2.3674768518518519E-3</v>
      </c>
      <c r="L55">
        <f>IF($A$77=1000,C72+C73,C55)</f>
        <v>12.5</v>
      </c>
      <c r="M55">
        <f t="shared" si="4"/>
        <v>4</v>
      </c>
      <c r="N55">
        <f t="shared" si="26"/>
        <v>100.67</v>
      </c>
      <c r="O55" s="265"/>
      <c r="P55" s="2">
        <f t="shared" si="6"/>
        <v>38.144432303566106</v>
      </c>
      <c r="R55" s="2">
        <f t="shared" si="2"/>
        <v>-0.37844051591359396</v>
      </c>
      <c r="S55" s="2">
        <f t="shared" si="3"/>
        <v>-4.6429999999999865</v>
      </c>
      <c r="T55" s="6">
        <f t="shared" si="8"/>
        <v>-0.31627029820555919</v>
      </c>
      <c r="U55" s="77">
        <f t="shared" si="9"/>
        <v>-1.5166666666666657</v>
      </c>
      <c r="V55" s="2">
        <f t="shared" si="12"/>
        <v>-10.319763040654628</v>
      </c>
      <c r="W55" s="77">
        <f t="shared" si="10"/>
        <v>-9.4497438895444219</v>
      </c>
    </row>
    <row r="56" spans="1:23" ht="14.4" x14ac:dyDescent="0.3">
      <c r="A56">
        <v>475</v>
      </c>
      <c r="B56" s="263">
        <v>1.2027777777777777E-3</v>
      </c>
      <c r="C56">
        <v>5.97</v>
      </c>
      <c r="D56">
        <v>4.1900000000000004</v>
      </c>
      <c r="E56">
        <v>99.63</v>
      </c>
      <c r="F56"/>
      <c r="J56">
        <f>IF($A$77=1000,A75,A56)</f>
        <v>950</v>
      </c>
      <c r="K56">
        <f t="shared" ref="K56:N56" si="27">IF($A$77=1000,B75,B56)</f>
        <v>2.5113425925925924E-3</v>
      </c>
      <c r="L56">
        <f>IF($A$77=1000,C74+C75,C56)</f>
        <v>12.42</v>
      </c>
      <c r="M56">
        <f t="shared" si="4"/>
        <v>4.0257648953301128</v>
      </c>
      <c r="N56">
        <f t="shared" si="27"/>
        <v>100.19</v>
      </c>
      <c r="O56" s="265"/>
      <c r="P56" s="2">
        <f t="shared" si="6"/>
        <v>39.072580918651362</v>
      </c>
      <c r="R56" s="2">
        <f t="shared" si="2"/>
        <v>-0.35267562058348112</v>
      </c>
      <c r="S56" s="2">
        <f t="shared" si="3"/>
        <v>-5.1229999999999905</v>
      </c>
      <c r="T56" s="6">
        <f t="shared" si="8"/>
        <v>-0.29050540287544635</v>
      </c>
      <c r="U56" s="77">
        <f t="shared" si="9"/>
        <v>-1.9966666666666697</v>
      </c>
      <c r="V56" s="2">
        <f t="shared" si="12"/>
        <v>-9.3916144255693723</v>
      </c>
      <c r="W56" s="77">
        <f t="shared" si="10"/>
        <v>-8.5215952744591661</v>
      </c>
    </row>
    <row r="57" spans="1:23" ht="14.4" x14ac:dyDescent="0.3">
      <c r="A57">
        <v>500</v>
      </c>
      <c r="B57" s="263">
        <v>1.2726851851851851E-3</v>
      </c>
      <c r="C57">
        <v>6.04</v>
      </c>
      <c r="D57">
        <v>4.1399999999999997</v>
      </c>
      <c r="E57">
        <v>99.08</v>
      </c>
      <c r="F57"/>
      <c r="J57">
        <f>IF($A$77=1000,A77,A57)</f>
        <v>1000</v>
      </c>
      <c r="K57">
        <f t="shared" ref="K57:N58" si="28">IF($A$77=1000,B77,B57)</f>
        <v>2.6606481481481481E-3</v>
      </c>
      <c r="L57">
        <f>IF($A$77=1000,C76+C77,C57)</f>
        <v>12.9</v>
      </c>
      <c r="M57">
        <f t="shared" si="4"/>
        <v>3.8759689922480618</v>
      </c>
      <c r="N57">
        <f t="shared" si="28"/>
        <v>97.47</v>
      </c>
      <c r="O57" s="265"/>
      <c r="P57" s="2">
        <f t="shared" si="6"/>
        <v>35.844387727812382</v>
      </c>
      <c r="R57" s="2">
        <f t="shared" si="2"/>
        <v>-0.50247152366553216</v>
      </c>
      <c r="S57" s="2">
        <f t="shared" si="3"/>
        <v>-7.8429999999999893</v>
      </c>
      <c r="T57" s="6">
        <f t="shared" si="8"/>
        <v>-0.44030130595749739</v>
      </c>
      <c r="U57" s="77">
        <f t="shared" si="9"/>
        <v>-4.7166666666666686</v>
      </c>
      <c r="V57" s="2">
        <f t="shared" si="12"/>
        <v>-12.619807616408352</v>
      </c>
      <c r="W57" s="77">
        <f t="shared" si="10"/>
        <v>-11.749788465298145</v>
      </c>
    </row>
    <row r="58" spans="1:23" ht="14.4" x14ac:dyDescent="0.3">
      <c r="A58">
        <v>525</v>
      </c>
      <c r="B58" s="263">
        <v>1.3407407407407407E-3</v>
      </c>
      <c r="C58">
        <v>5.88</v>
      </c>
      <c r="D58">
        <v>4.25</v>
      </c>
      <c r="E58">
        <v>99.08</v>
      </c>
      <c r="F58"/>
      <c r="J58" s="265" t="s">
        <v>291</v>
      </c>
      <c r="K58" s="266"/>
      <c r="L58" s="267">
        <f>IF($A$77=1000,C78,C58)</f>
        <v>5.75</v>
      </c>
      <c r="M58" s="267">
        <f t="shared" si="28"/>
        <v>4.3899999999999997</v>
      </c>
      <c r="N58" s="267">
        <f t="shared" si="28"/>
        <v>105.67</v>
      </c>
      <c r="O58" s="265"/>
    </row>
    <row r="59" spans="1:23" ht="14.4" x14ac:dyDescent="0.3">
      <c r="A59">
        <v>550</v>
      </c>
      <c r="B59" s="263">
        <v>1.4113425925925925E-3</v>
      </c>
      <c r="C59">
        <v>6.1</v>
      </c>
      <c r="D59">
        <v>4.0999999999999996</v>
      </c>
      <c r="E59">
        <v>98.36</v>
      </c>
      <c r="F59"/>
      <c r="K59" s="4"/>
    </row>
    <row r="60" spans="1:23" ht="14.4" x14ac:dyDescent="0.3">
      <c r="A60">
        <v>575</v>
      </c>
      <c r="B60" s="263">
        <v>1.4818287037037037E-3</v>
      </c>
      <c r="C60">
        <v>6.09</v>
      </c>
      <c r="D60">
        <v>4.1100000000000003</v>
      </c>
      <c r="E60">
        <v>99.26</v>
      </c>
      <c r="F60"/>
      <c r="K60" s="4"/>
    </row>
    <row r="61" spans="1:23" ht="14.4" x14ac:dyDescent="0.3">
      <c r="A61">
        <v>600</v>
      </c>
      <c r="B61" s="263">
        <v>1.5505787037037035E-3</v>
      </c>
      <c r="C61">
        <v>5.94</v>
      </c>
      <c r="D61">
        <v>4.21</v>
      </c>
      <c r="E61">
        <v>99.82</v>
      </c>
      <c r="F61"/>
      <c r="K61" s="4"/>
    </row>
    <row r="62" spans="1:23" ht="14.4" x14ac:dyDescent="0.3">
      <c r="A62">
        <v>625</v>
      </c>
      <c r="B62" s="263">
        <v>1.614699074074074E-3</v>
      </c>
      <c r="C62">
        <v>5.55</v>
      </c>
      <c r="D62">
        <v>4.51</v>
      </c>
      <c r="E62">
        <v>100.42</v>
      </c>
      <c r="F62"/>
      <c r="K62" s="4"/>
    </row>
    <row r="63" spans="1:23" ht="11.7" customHeight="1" x14ac:dyDescent="0.3">
      <c r="A63">
        <v>650</v>
      </c>
      <c r="B63" s="263">
        <v>1.6812500000000002E-3</v>
      </c>
      <c r="C63">
        <v>5.75</v>
      </c>
      <c r="D63">
        <v>4.3499999999999996</v>
      </c>
      <c r="E63">
        <v>101.12</v>
      </c>
      <c r="F63"/>
      <c r="K63" s="4"/>
    </row>
    <row r="64" spans="1:23" ht="14.4" x14ac:dyDescent="0.3">
      <c r="A64">
        <v>675</v>
      </c>
      <c r="B64" s="263">
        <v>1.7486111111111112E-3</v>
      </c>
      <c r="C64">
        <v>5.81</v>
      </c>
      <c r="D64">
        <v>4.3</v>
      </c>
      <c r="E64">
        <v>101.05</v>
      </c>
      <c r="F64"/>
      <c r="K64" s="4"/>
    </row>
    <row r="65" spans="1:11" ht="14.4" x14ac:dyDescent="0.3">
      <c r="A65">
        <v>700</v>
      </c>
      <c r="B65" s="263">
        <v>1.8175925925925927E-3</v>
      </c>
      <c r="C65">
        <v>5.96</v>
      </c>
      <c r="D65">
        <v>4.1900000000000004</v>
      </c>
      <c r="E65">
        <v>99.63</v>
      </c>
      <c r="F65"/>
      <c r="K65" s="4"/>
    </row>
    <row r="66" spans="1:11" ht="14.4" x14ac:dyDescent="0.3">
      <c r="A66">
        <v>725</v>
      </c>
      <c r="B66" s="263">
        <v>1.8909722222222221E-3</v>
      </c>
      <c r="C66">
        <v>6.34</v>
      </c>
      <c r="D66">
        <v>3.94</v>
      </c>
      <c r="E66">
        <v>99.5</v>
      </c>
      <c r="F66"/>
    </row>
    <row r="67" spans="1:11" ht="14.4" x14ac:dyDescent="0.3">
      <c r="A67">
        <v>750</v>
      </c>
      <c r="B67" s="263">
        <v>1.9600694444444444E-3</v>
      </c>
      <c r="C67">
        <v>5.97</v>
      </c>
      <c r="D67">
        <v>4.1900000000000004</v>
      </c>
      <c r="E67">
        <v>103.05</v>
      </c>
      <c r="F67"/>
    </row>
    <row r="68" spans="1:11" ht="14.4" x14ac:dyDescent="0.3">
      <c r="A68">
        <v>775</v>
      </c>
      <c r="B68" s="263">
        <v>2.0246527777777776E-3</v>
      </c>
      <c r="C68">
        <v>5.58</v>
      </c>
      <c r="D68">
        <v>4.4800000000000004</v>
      </c>
      <c r="E68">
        <v>101.89</v>
      </c>
      <c r="F68"/>
    </row>
    <row r="69" spans="1:11" ht="14.4" x14ac:dyDescent="0.3">
      <c r="A69">
        <v>800</v>
      </c>
      <c r="B69" s="263">
        <v>2.0921296296296295E-3</v>
      </c>
      <c r="C69">
        <v>5.83</v>
      </c>
      <c r="D69">
        <v>4.29</v>
      </c>
      <c r="E69">
        <v>101.69</v>
      </c>
      <c r="F69"/>
    </row>
    <row r="70" spans="1:11" ht="14.4" x14ac:dyDescent="0.3">
      <c r="A70">
        <v>825</v>
      </c>
      <c r="B70" s="263">
        <v>2.1577546296296297E-3</v>
      </c>
      <c r="C70">
        <v>5.68</v>
      </c>
      <c r="D70">
        <v>4.4000000000000004</v>
      </c>
      <c r="E70">
        <v>101.5</v>
      </c>
      <c r="F70"/>
    </row>
    <row r="71" spans="1:11" ht="14.4" x14ac:dyDescent="0.3">
      <c r="A71">
        <v>850</v>
      </c>
      <c r="B71" s="263">
        <v>2.2229166666666669E-3</v>
      </c>
      <c r="C71">
        <v>5.62</v>
      </c>
      <c r="D71">
        <v>4.45</v>
      </c>
      <c r="E71">
        <v>101.31</v>
      </c>
      <c r="F71"/>
    </row>
    <row r="72" spans="1:11" ht="14.4" x14ac:dyDescent="0.3">
      <c r="A72">
        <v>875</v>
      </c>
      <c r="B72" s="263">
        <v>2.2951388888888891E-3</v>
      </c>
      <c r="C72">
        <v>6.24</v>
      </c>
      <c r="D72">
        <v>4.01</v>
      </c>
      <c r="E72">
        <v>100.93</v>
      </c>
      <c r="F72"/>
    </row>
    <row r="73" spans="1:11" ht="14.4" x14ac:dyDescent="0.3">
      <c r="A73">
        <v>900</v>
      </c>
      <c r="B73" s="263">
        <v>2.3674768518518519E-3</v>
      </c>
      <c r="C73">
        <v>6.26</v>
      </c>
      <c r="D73">
        <v>3.99</v>
      </c>
      <c r="E73">
        <v>100.67</v>
      </c>
      <c r="F73"/>
    </row>
    <row r="74" spans="1:11" ht="14.4" x14ac:dyDescent="0.3">
      <c r="A74">
        <v>925</v>
      </c>
      <c r="B74" s="263">
        <v>2.4386574074074072E-3</v>
      </c>
      <c r="C74">
        <v>6.14</v>
      </c>
      <c r="D74">
        <v>4.07</v>
      </c>
      <c r="E74">
        <v>102.08</v>
      </c>
      <c r="F74"/>
    </row>
    <row r="75" spans="1:11" ht="14.4" x14ac:dyDescent="0.3">
      <c r="A75">
        <v>950</v>
      </c>
      <c r="B75" s="263">
        <v>2.5113425925925924E-3</v>
      </c>
      <c r="C75">
        <v>6.28</v>
      </c>
      <c r="D75">
        <v>3.98</v>
      </c>
      <c r="E75">
        <v>100.19</v>
      </c>
      <c r="F75"/>
    </row>
    <row r="76" spans="1:11" ht="14.4" x14ac:dyDescent="0.3">
      <c r="A76">
        <v>975</v>
      </c>
      <c r="B76" s="263">
        <v>2.5826388888888887E-3</v>
      </c>
      <c r="C76">
        <v>6.16</v>
      </c>
      <c r="D76">
        <v>4.0599999999999996</v>
      </c>
      <c r="E76">
        <v>98.36</v>
      </c>
      <c r="F76"/>
    </row>
    <row r="77" spans="1:11" ht="14.4" x14ac:dyDescent="0.3">
      <c r="A77">
        <v>1000</v>
      </c>
      <c r="B77" s="263">
        <v>2.6606481481481481E-3</v>
      </c>
      <c r="C77">
        <v>6.74</v>
      </c>
      <c r="D77">
        <v>3.71</v>
      </c>
      <c r="E77">
        <v>97.47</v>
      </c>
      <c r="F77"/>
    </row>
    <row r="78" spans="1:11" ht="14.4" x14ac:dyDescent="0.3">
      <c r="A78" t="s">
        <v>291</v>
      </c>
      <c r="B78"/>
      <c r="C78">
        <v>5.75</v>
      </c>
      <c r="D78">
        <v>4.3899999999999997</v>
      </c>
      <c r="E78">
        <v>105.67</v>
      </c>
      <c r="F78"/>
    </row>
  </sheetData>
  <mergeCells count="13">
    <mergeCell ref="R35:U35"/>
    <mergeCell ref="D12:E12"/>
    <mergeCell ref="G1:K2"/>
    <mergeCell ref="A11:C11"/>
    <mergeCell ref="A6:D7"/>
    <mergeCell ref="A2:D3"/>
    <mergeCell ref="D17:E17"/>
    <mergeCell ref="D18:E18"/>
    <mergeCell ref="D19:E19"/>
    <mergeCell ref="D20:E20"/>
    <mergeCell ref="D21:E21"/>
    <mergeCell ref="D22:E22"/>
    <mergeCell ref="A33:F3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6" r:id="rId4" name="Button 22">
              <controlPr defaultSize="0" print="0" autoFill="0" autoPict="0" macro="[0]!Paste_Clipboard">
                <anchor moveWithCells="1" sizeWithCells="1">
                  <from>
                    <xdr:col>10</xdr:col>
                    <xdr:colOff>0</xdr:colOff>
                    <xdr:row>31</xdr:row>
                    <xdr:rowOff>83820</xdr:rowOff>
                  </from>
                  <to>
                    <xdr:col>13</xdr:col>
                    <xdr:colOff>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5" name="Button 23">
              <controlPr defaultSize="0" print="0" autoFill="0" autoPict="0" macro="[0]!EnterAutoDate">
                <anchor moveWithCells="1" sizeWithCells="1">
                  <from>
                    <xdr:col>1</xdr:col>
                    <xdr:colOff>30480</xdr:colOff>
                    <xdr:row>11</xdr:row>
                    <xdr:rowOff>38100</xdr:rowOff>
                  </from>
                  <to>
                    <xdr:col>1</xdr:col>
                    <xdr:colOff>670560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0000000}">
          <x14:formula1>
            <xm:f>'Lookup Table'!$AB$2:$AB$8</xm:f>
          </x14:formula1>
          <xm:sqref>D17</xm:sqref>
        </x14:dataValidation>
        <x14:dataValidation type="list" allowBlank="1" showInputMessage="1" showErrorMessage="1" xr:uid="{00000000-0002-0000-0100-000001000000}">
          <x14:formula1>
            <xm:f>'Lookup Table'!$AJ$2:$AJ$11</xm:f>
          </x14:formula1>
          <xm:sqref>D18:E18</xm:sqref>
        </x14:dataValidation>
        <x14:dataValidation type="list" allowBlank="1" showInputMessage="1" showErrorMessage="1" xr:uid="{00000000-0002-0000-0100-000002000000}">
          <x14:formula1>
            <xm:f>'Lookup Table'!$AC$2:$AC$11</xm:f>
          </x14:formula1>
          <xm:sqref>D19:E19</xm:sqref>
        </x14:dataValidation>
        <x14:dataValidation type="list" allowBlank="1" showInputMessage="1" showErrorMessage="1" xr:uid="{00000000-0002-0000-0100-000003000000}">
          <x14:formula1>
            <xm:f>'Lookup Table'!$AP$2:$AP$4</xm:f>
          </x14:formula1>
          <xm:sqref>D20:E20</xm:sqref>
        </x14:dataValidation>
        <x14:dataValidation type="list" allowBlank="1" showInputMessage="1" showErrorMessage="1" xr:uid="{00000000-0002-0000-0100-000004000000}">
          <x14:formula1>
            <xm:f>'Lookup Table'!$AR$2:$AR$5</xm:f>
          </x14:formula1>
          <xm:sqref>D21:E21</xm:sqref>
        </x14:dataValidation>
        <x14:dataValidation type="list" allowBlank="1" showInputMessage="1" showErrorMessage="1" xr:uid="{00000000-0002-0000-0100-000005000000}">
          <x14:formula1>
            <xm:f>'Lookup Table'!$AT$2:$AT$4</xm:f>
          </x14:formula1>
          <xm:sqref>D22:E22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5"/>
  </sheetPr>
  <dimension ref="A1:AE78"/>
  <sheetViews>
    <sheetView zoomScaleNormal="100" workbookViewId="0">
      <selection activeCell="D17" sqref="D17:E17"/>
    </sheetView>
  </sheetViews>
  <sheetFormatPr defaultColWidth="9.109375" defaultRowHeight="11.4" x14ac:dyDescent="0.2"/>
  <cols>
    <col min="1" max="1" width="9.109375" style="2"/>
    <col min="2" max="2" width="9.6640625" style="2" bestFit="1" customWidth="1"/>
    <col min="3" max="3" width="10.33203125" style="2" customWidth="1"/>
    <col min="4" max="4" width="8.109375" style="2" customWidth="1"/>
    <col min="5" max="6" width="9.109375" style="2"/>
    <col min="7" max="16" width="9.109375" style="2" customWidth="1"/>
    <col min="17" max="16384" width="9.109375" style="2"/>
  </cols>
  <sheetData>
    <row r="1" spans="1:31" s="33" customFormat="1" ht="12" x14ac:dyDescent="0.25">
      <c r="G1" s="288" t="s">
        <v>99</v>
      </c>
      <c r="H1" s="288"/>
      <c r="I1" s="288"/>
      <c r="J1" s="288"/>
      <c r="K1" s="288"/>
    </row>
    <row r="2" spans="1:31" s="33" customFormat="1" ht="12" x14ac:dyDescent="0.25">
      <c r="A2" s="291" t="s">
        <v>173</v>
      </c>
      <c r="B2" s="291"/>
      <c r="C2" s="291"/>
      <c r="D2" s="291"/>
      <c r="G2" s="288"/>
      <c r="H2" s="288"/>
      <c r="I2" s="288"/>
      <c r="J2" s="288"/>
      <c r="K2" s="288"/>
    </row>
    <row r="3" spans="1:31" s="33" customFormat="1" ht="12" x14ac:dyDescent="0.25">
      <c r="A3" s="291"/>
      <c r="B3" s="291"/>
      <c r="C3" s="291"/>
      <c r="D3" s="291"/>
      <c r="G3" s="40"/>
      <c r="H3" s="35"/>
    </row>
    <row r="4" spans="1:31" s="33" customFormat="1" ht="16.5" customHeight="1" x14ac:dyDescent="0.25">
      <c r="F4" s="30" t="s">
        <v>127</v>
      </c>
      <c r="G4" s="29"/>
      <c r="H4" s="35"/>
    </row>
    <row r="5" spans="1:31" s="9" customFormat="1" ht="12" x14ac:dyDescent="0.25">
      <c r="D5" s="8"/>
      <c r="E5" s="8"/>
      <c r="F5" s="34" t="s">
        <v>106</v>
      </c>
      <c r="G5" s="43" t="str">
        <f>'Event SetUp'!D3</f>
        <v>Fletcher Cunningham</v>
      </c>
      <c r="H5" s="29"/>
      <c r="Q5" s="10"/>
      <c r="R5" s="5"/>
      <c r="S5" s="11"/>
      <c r="T5" s="5"/>
      <c r="V5" s="11"/>
      <c r="W5" s="5"/>
      <c r="X5" s="2"/>
      <c r="Y5" s="2"/>
      <c r="Z5" s="2"/>
      <c r="AA5" s="2"/>
      <c r="AB5" s="2"/>
      <c r="AC5" s="2"/>
      <c r="AD5" s="2"/>
      <c r="AE5" s="2"/>
    </row>
    <row r="6" spans="1:31" s="9" customFormat="1" ht="11.85" customHeight="1" x14ac:dyDescent="0.25">
      <c r="A6" s="290" t="s">
        <v>131</v>
      </c>
      <c r="B6" s="290"/>
      <c r="C6" s="290"/>
      <c r="D6" s="290"/>
      <c r="E6" s="8"/>
      <c r="F6" s="34" t="s">
        <v>107</v>
      </c>
      <c r="G6" s="43">
        <f>'Event SetUp'!D4</f>
        <v>0</v>
      </c>
      <c r="H6" s="29"/>
      <c r="M6" s="2"/>
      <c r="N6" s="2"/>
      <c r="O6" s="2"/>
      <c r="P6" s="2"/>
      <c r="Q6" s="10"/>
      <c r="R6" s="5"/>
      <c r="S6" s="11"/>
      <c r="T6" s="5"/>
      <c r="V6" s="11"/>
      <c r="W6" s="5"/>
      <c r="X6" s="2"/>
      <c r="Y6" s="2"/>
      <c r="Z6" s="2"/>
      <c r="AA6" s="2"/>
      <c r="AB6" s="2"/>
      <c r="AC6" s="2"/>
      <c r="AD6" s="2"/>
      <c r="AE6" s="2"/>
    </row>
    <row r="7" spans="1:31" s="9" customFormat="1" ht="11.85" customHeight="1" x14ac:dyDescent="0.25">
      <c r="A7" s="290"/>
      <c r="B7" s="290"/>
      <c r="C7" s="290"/>
      <c r="D7" s="290"/>
      <c r="E7" s="8"/>
      <c r="F7" s="34" t="s">
        <v>108</v>
      </c>
      <c r="G7" s="43">
        <f>'Event SetUp'!D5</f>
        <v>0</v>
      </c>
      <c r="H7" s="29"/>
      <c r="M7" s="2"/>
      <c r="N7" s="2"/>
      <c r="O7" s="2"/>
      <c r="P7" s="2"/>
      <c r="Q7" s="10"/>
      <c r="R7" s="5"/>
      <c r="S7" s="11"/>
      <c r="T7" s="5"/>
      <c r="V7" s="11"/>
      <c r="W7" s="5"/>
      <c r="X7" s="2"/>
      <c r="Y7" s="2"/>
      <c r="Z7" s="2"/>
      <c r="AA7" s="2"/>
      <c r="AB7" s="2"/>
      <c r="AC7" s="2"/>
      <c r="AD7" s="2"/>
      <c r="AE7" s="2"/>
    </row>
    <row r="8" spans="1:31" s="9" customFormat="1" ht="12" x14ac:dyDescent="0.25">
      <c r="D8" s="8"/>
      <c r="E8" s="8"/>
      <c r="F8" s="34" t="s">
        <v>109</v>
      </c>
      <c r="G8" s="43">
        <f>'Event SetUp'!D6</f>
        <v>0</v>
      </c>
      <c r="H8" s="29"/>
      <c r="M8" s="2"/>
      <c r="N8" s="2"/>
      <c r="O8" s="2"/>
      <c r="P8" s="2"/>
      <c r="Q8" s="10"/>
      <c r="R8" s="5"/>
      <c r="S8" s="11"/>
      <c r="T8" s="5"/>
      <c r="V8" s="11"/>
      <c r="W8" s="5"/>
      <c r="X8" s="2"/>
      <c r="Y8" s="2"/>
      <c r="Z8" s="2"/>
      <c r="AA8" s="2"/>
      <c r="AB8" s="2"/>
      <c r="AC8" s="2"/>
      <c r="AD8" s="2"/>
      <c r="AE8" s="2"/>
    </row>
    <row r="9" spans="1:31" ht="12" x14ac:dyDescent="0.25">
      <c r="D9" s="8"/>
      <c r="E9" s="8"/>
      <c r="F9" s="8"/>
      <c r="G9" s="29"/>
      <c r="H9" s="29"/>
      <c r="Q9" s="10"/>
      <c r="R9" s="5"/>
      <c r="S9" s="11"/>
      <c r="T9" s="5"/>
      <c r="U9" s="9"/>
      <c r="V9" s="11"/>
      <c r="W9" s="5"/>
    </row>
    <row r="10" spans="1:31" ht="12" x14ac:dyDescent="0.25">
      <c r="A10" s="34"/>
      <c r="B10" s="39"/>
      <c r="D10" s="8"/>
      <c r="E10" s="8"/>
      <c r="F10" s="8"/>
      <c r="G10" s="29"/>
      <c r="H10" s="29"/>
      <c r="Q10" s="10"/>
      <c r="R10" s="5"/>
      <c r="S10" s="11"/>
      <c r="T10" s="5"/>
      <c r="U10" s="9"/>
      <c r="V10" s="11"/>
      <c r="W10" s="5"/>
    </row>
    <row r="11" spans="1:31" ht="13.8" x14ac:dyDescent="0.3">
      <c r="A11" s="289" t="s">
        <v>155</v>
      </c>
      <c r="B11" s="289"/>
      <c r="C11" s="289"/>
      <c r="D11" s="42" t="s">
        <v>126</v>
      </c>
      <c r="E11" s="32"/>
      <c r="F11" s="33"/>
      <c r="G11" s="35"/>
      <c r="H11" s="29"/>
      <c r="Q11" s="10"/>
      <c r="R11" s="5"/>
      <c r="S11" s="11"/>
      <c r="T11" s="5"/>
      <c r="U11" s="9"/>
      <c r="V11" s="11"/>
      <c r="W11" s="5"/>
    </row>
    <row r="12" spans="1:31" ht="20.25" customHeight="1" x14ac:dyDescent="0.3">
      <c r="A12" s="38"/>
      <c r="B12"/>
      <c r="C12" s="33"/>
      <c r="D12" s="287">
        <v>43875</v>
      </c>
      <c r="E12" s="287"/>
      <c r="F12" s="45"/>
      <c r="G12" s="44">
        <f>D12</f>
        <v>43875</v>
      </c>
      <c r="H12" s="29"/>
      <c r="J12" s="55"/>
      <c r="O12" s="56"/>
      <c r="Q12" s="10"/>
      <c r="R12" s="5"/>
      <c r="S12" s="11"/>
      <c r="T12" s="5"/>
      <c r="U12" s="54"/>
      <c r="V12" s="11"/>
      <c r="W12" s="5"/>
    </row>
    <row r="13" spans="1:31" ht="20.25" customHeight="1" x14ac:dyDescent="0.25">
      <c r="B13" s="9"/>
      <c r="F13" s="25"/>
      <c r="G13" s="37"/>
      <c r="H13" s="37"/>
      <c r="Q13" s="10"/>
      <c r="R13" s="5"/>
      <c r="S13" s="11"/>
      <c r="T13" s="5"/>
      <c r="U13" s="9"/>
      <c r="V13" s="11"/>
      <c r="W13" s="5"/>
    </row>
    <row r="14" spans="1:31" ht="20.25" customHeight="1" x14ac:dyDescent="0.25">
      <c r="B14" s="9"/>
      <c r="F14" s="25"/>
      <c r="G14" s="37"/>
      <c r="H14" s="37"/>
      <c r="Q14" s="10"/>
      <c r="R14" s="5"/>
      <c r="S14" s="11"/>
      <c r="T14" s="5"/>
      <c r="U14" s="5"/>
      <c r="V14" s="11"/>
      <c r="W14" s="5"/>
    </row>
    <row r="15" spans="1:31" ht="20.25" customHeight="1" x14ac:dyDescent="0.25">
      <c r="B15" s="9"/>
      <c r="D15" s="9" t="s">
        <v>102</v>
      </c>
      <c r="F15" s="25"/>
      <c r="G15" s="37"/>
      <c r="H15" s="37"/>
      <c r="T15" s="5"/>
    </row>
    <row r="16" spans="1:31" ht="20.25" customHeight="1" x14ac:dyDescent="0.25">
      <c r="B16" s="25"/>
      <c r="D16" s="13"/>
      <c r="F16" s="25"/>
      <c r="G16" s="37"/>
      <c r="H16" s="37"/>
      <c r="T16" s="5"/>
    </row>
    <row r="17" spans="1:20" ht="20.25" customHeight="1" x14ac:dyDescent="0.25">
      <c r="A17" s="15" t="s">
        <v>112</v>
      </c>
      <c r="B17" s="25"/>
      <c r="C17" s="18"/>
      <c r="D17" s="292" t="s">
        <v>14</v>
      </c>
      <c r="E17" s="292"/>
      <c r="F17" s="14"/>
      <c r="G17" s="36"/>
      <c r="H17" s="37"/>
      <c r="T17" s="5"/>
    </row>
    <row r="18" spans="1:20" ht="20.25" customHeight="1" x14ac:dyDescent="0.25">
      <c r="A18" s="15" t="s">
        <v>8</v>
      </c>
      <c r="B18" s="1"/>
      <c r="D18" s="292">
        <v>1</v>
      </c>
      <c r="E18" s="292"/>
      <c r="F18" s="16"/>
      <c r="G18" s="36"/>
      <c r="H18" s="37"/>
      <c r="T18" s="5"/>
    </row>
    <row r="19" spans="1:20" ht="20.25" customHeight="1" x14ac:dyDescent="0.25">
      <c r="A19" s="15" t="s">
        <v>103</v>
      </c>
      <c r="D19" s="293" t="s">
        <v>15</v>
      </c>
      <c r="E19" s="293"/>
      <c r="G19" s="36"/>
      <c r="H19" s="37"/>
    </row>
    <row r="20" spans="1:20" ht="20.25" customHeight="1" x14ac:dyDescent="0.25">
      <c r="A20" s="19" t="s">
        <v>104</v>
      </c>
      <c r="D20" s="293">
        <v>0</v>
      </c>
      <c r="E20" s="293"/>
      <c r="G20" s="36"/>
      <c r="H20" s="37"/>
    </row>
    <row r="21" spans="1:20" ht="20.25" customHeight="1" x14ac:dyDescent="0.25">
      <c r="A21" s="12" t="s">
        <v>113</v>
      </c>
      <c r="D21" s="293" t="s">
        <v>128</v>
      </c>
      <c r="E21" s="293"/>
      <c r="G21" s="36"/>
      <c r="H21" s="37"/>
    </row>
    <row r="22" spans="1:20" ht="20.100000000000001" customHeight="1" x14ac:dyDescent="0.25">
      <c r="A22" s="12" t="s">
        <v>120</v>
      </c>
      <c r="B22" s="27"/>
      <c r="D22" s="293" t="s">
        <v>117</v>
      </c>
      <c r="E22" s="293"/>
      <c r="G22" s="36"/>
      <c r="H22" s="37"/>
    </row>
    <row r="23" spans="1:20" ht="20.100000000000001" customHeight="1" x14ac:dyDescent="0.25">
      <c r="A23" s="31" t="s">
        <v>121</v>
      </c>
      <c r="D23" s="47">
        <v>2.5578703703703705E-3</v>
      </c>
      <c r="G23" s="36"/>
      <c r="H23" s="29"/>
      <c r="J23" s="27"/>
    </row>
    <row r="24" spans="1:20" ht="20.100000000000001" customHeight="1" x14ac:dyDescent="0.25">
      <c r="A24" s="31" t="s">
        <v>122</v>
      </c>
      <c r="D24" s="47">
        <v>2.5578703703703705E-3</v>
      </c>
      <c r="G24" s="36"/>
      <c r="H24" s="29"/>
    </row>
    <row r="25" spans="1:20" x14ac:dyDescent="0.2">
      <c r="G25" s="29"/>
      <c r="H25" s="29"/>
    </row>
    <row r="26" spans="1:20" ht="12" x14ac:dyDescent="0.25">
      <c r="A26" s="20" t="s">
        <v>105</v>
      </c>
      <c r="B26" s="21"/>
      <c r="C26" s="21"/>
      <c r="D26" s="22"/>
      <c r="E26" s="21"/>
      <c r="F26" s="21"/>
      <c r="G26" s="21"/>
      <c r="H26" s="21"/>
      <c r="I26" s="21"/>
      <c r="J26" s="21"/>
      <c r="K26" s="21"/>
      <c r="L26" s="21"/>
      <c r="M26" s="21"/>
    </row>
    <row r="27" spans="1:20" ht="12" x14ac:dyDescent="0.25">
      <c r="B27" s="1" t="s">
        <v>106</v>
      </c>
      <c r="C27" s="1" t="s">
        <v>107</v>
      </c>
      <c r="D27" s="1" t="s">
        <v>108</v>
      </c>
      <c r="E27" s="1" t="s">
        <v>109</v>
      </c>
    </row>
    <row r="28" spans="1:20" ht="24" x14ac:dyDescent="0.25">
      <c r="A28" s="23" t="s">
        <v>110</v>
      </c>
      <c r="B28" s="24"/>
      <c r="C28" s="24"/>
      <c r="D28" s="24"/>
      <c r="E28" s="24"/>
    </row>
    <row r="29" spans="1:20" ht="12" x14ac:dyDescent="0.25">
      <c r="A29" s="25"/>
      <c r="B29" s="9"/>
      <c r="C29" s="9"/>
      <c r="D29" s="9"/>
      <c r="E29" s="9"/>
    </row>
    <row r="30" spans="1:20" ht="24" x14ac:dyDescent="0.25">
      <c r="A30" s="23" t="s">
        <v>111</v>
      </c>
      <c r="B30" s="24"/>
      <c r="C30" s="24"/>
      <c r="D30" s="24"/>
      <c r="E30" s="24"/>
    </row>
    <row r="31" spans="1:20" x14ac:dyDescent="0.2">
      <c r="A31" s="4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</row>
    <row r="33" spans="1:23" x14ac:dyDescent="0.2">
      <c r="A33" s="294" t="s">
        <v>298</v>
      </c>
      <c r="B33" s="294"/>
      <c r="C33" s="294"/>
      <c r="D33" s="294"/>
      <c r="E33" s="294"/>
      <c r="F33" s="294"/>
    </row>
    <row r="34" spans="1:23" x14ac:dyDescent="0.2">
      <c r="A34" s="294"/>
      <c r="B34" s="294"/>
      <c r="C34" s="294"/>
      <c r="D34" s="294"/>
      <c r="E34" s="294"/>
      <c r="F34" s="294"/>
      <c r="J34" s="9"/>
      <c r="K34" s="9"/>
      <c r="L34" s="9"/>
      <c r="M34" s="9"/>
      <c r="N34" s="9"/>
    </row>
    <row r="35" spans="1:23" ht="12" x14ac:dyDescent="0.25">
      <c r="A35" s="294"/>
      <c r="B35" s="294"/>
      <c r="C35" s="294"/>
      <c r="D35" s="294"/>
      <c r="E35" s="294"/>
      <c r="F35" s="294"/>
      <c r="J35" s="9"/>
      <c r="K35" s="28"/>
      <c r="L35" s="28"/>
      <c r="M35" s="28"/>
      <c r="N35" s="28"/>
      <c r="R35" s="286" t="s">
        <v>248</v>
      </c>
      <c r="S35" s="286"/>
      <c r="T35" s="286"/>
      <c r="U35" s="286"/>
    </row>
    <row r="36" spans="1:23" ht="14.4" x14ac:dyDescent="0.3">
      <c r="A36" t="s">
        <v>101</v>
      </c>
      <c r="B36"/>
      <c r="C36" t="s">
        <v>132</v>
      </c>
      <c r="D36" t="s">
        <v>299</v>
      </c>
      <c r="E36" t="s">
        <v>87</v>
      </c>
      <c r="F36" s="263"/>
      <c r="J36" t="str">
        <f>A36</f>
        <v>Race</v>
      </c>
      <c r="K36"/>
      <c r="L36" t="str">
        <f t="shared" ref="K36:O37" si="0">C36</f>
        <v>Dist</v>
      </c>
      <c r="M36" t="str">
        <f t="shared" si="0"/>
        <v>500m</v>
      </c>
      <c r="N36" t="str">
        <f t="shared" si="0"/>
        <v>Time</v>
      </c>
      <c r="O36" s="264">
        <f t="shared" si="0"/>
        <v>0</v>
      </c>
      <c r="R36" s="2" t="s">
        <v>257</v>
      </c>
      <c r="S36" s="2" t="s">
        <v>256</v>
      </c>
      <c r="T36" s="2" t="s">
        <v>258</v>
      </c>
      <c r="U36" s="2" t="s">
        <v>259</v>
      </c>
    </row>
    <row r="37" spans="1:23" ht="14.4" x14ac:dyDescent="0.3">
      <c r="A37"/>
      <c r="B37"/>
      <c r="C37"/>
      <c r="D37"/>
      <c r="E37"/>
      <c r="F37"/>
      <c r="J37">
        <f>A37</f>
        <v>0</v>
      </c>
      <c r="K37">
        <f t="shared" si="0"/>
        <v>0</v>
      </c>
      <c r="L37">
        <f t="shared" si="0"/>
        <v>0</v>
      </c>
      <c r="M37">
        <f t="shared" si="0"/>
        <v>0</v>
      </c>
      <c r="N37">
        <f t="shared" si="0"/>
        <v>0</v>
      </c>
      <c r="O37"/>
      <c r="P37" s="2" t="s">
        <v>255</v>
      </c>
      <c r="R37" s="2">
        <f>AVERAGE(M38:M57)</f>
        <v>0</v>
      </c>
      <c r="S37" s="2">
        <f>AVERAGE(N38:N57)</f>
        <v>0</v>
      </c>
      <c r="T37" s="6">
        <f>AVERAGE(M40:M57)</f>
        <v>0</v>
      </c>
      <c r="U37" s="6">
        <f>AVERAGE(N40:N57)</f>
        <v>0</v>
      </c>
      <c r="V37" s="2" t="e">
        <f>AVERAGE(P38:P57)</f>
        <v>#DIV/0!</v>
      </c>
      <c r="W37" s="6" t="e">
        <f>AVERAGE(P40:P57)</f>
        <v>#DIV/0!</v>
      </c>
    </row>
    <row r="38" spans="1:23" ht="14.4" x14ac:dyDescent="0.3">
      <c r="A38"/>
      <c r="B38"/>
      <c r="C38"/>
      <c r="D38"/>
      <c r="E38"/>
      <c r="F38"/>
      <c r="J38">
        <f>IF($A$77=1000,A39,A38)</f>
        <v>0</v>
      </c>
      <c r="K38">
        <f t="shared" ref="K38:N38" si="1">IF($A$77=1000,B39,B38)</f>
        <v>0</v>
      </c>
      <c r="L38">
        <f>IF($A$77=1000,C38+C39,C38)</f>
        <v>0</v>
      </c>
      <c r="M38">
        <f>IF($A$77=1000,50/L38,D38)</f>
        <v>0</v>
      </c>
      <c r="N38">
        <f t="shared" si="1"/>
        <v>0</v>
      </c>
      <c r="O38"/>
      <c r="P38" s="2" t="e">
        <f>(M38^3)/(N38/60)</f>
        <v>#DIV/0!</v>
      </c>
      <c r="R38" s="2">
        <f t="shared" ref="R38:R57" si="2">M38-$R$37</f>
        <v>0</v>
      </c>
      <c r="S38" s="2">
        <f t="shared" ref="S38:S57" si="3">N38-$S$37</f>
        <v>0</v>
      </c>
      <c r="V38" s="2" t="e">
        <f>P38-$V$37</f>
        <v>#DIV/0!</v>
      </c>
    </row>
    <row r="39" spans="1:23" ht="14.4" x14ac:dyDescent="0.3">
      <c r="A39"/>
      <c r="B39"/>
      <c r="C39"/>
      <c r="D39"/>
      <c r="E39"/>
      <c r="F39"/>
      <c r="J39">
        <f>IF($A$77=1000,A41,A39)</f>
        <v>0</v>
      </c>
      <c r="K39">
        <f t="shared" ref="K39:N39" si="4">IF($A$77=1000,B41,B39)</f>
        <v>0</v>
      </c>
      <c r="L39">
        <f>IF($A$77=1000,C40+C41,C39)</f>
        <v>0</v>
      </c>
      <c r="M39">
        <f t="shared" ref="M39:M57" si="5">IF($A$77=1000,50/L39,D39)</f>
        <v>0</v>
      </c>
      <c r="N39">
        <f t="shared" si="4"/>
        <v>0</v>
      </c>
      <c r="O39"/>
      <c r="P39" s="2" t="e">
        <f t="shared" ref="P39:P57" si="6">(M39^3)/(N39/60)</f>
        <v>#DIV/0!</v>
      </c>
      <c r="R39" s="6">
        <f t="shared" si="2"/>
        <v>0</v>
      </c>
      <c r="S39" s="2">
        <f t="shared" si="3"/>
        <v>0</v>
      </c>
      <c r="V39" s="2" t="e">
        <f>P39-$V$37</f>
        <v>#DIV/0!</v>
      </c>
    </row>
    <row r="40" spans="1:23" ht="14.4" x14ac:dyDescent="0.3">
      <c r="A40"/>
      <c r="B40"/>
      <c r="C40"/>
      <c r="D40"/>
      <c r="E40"/>
      <c r="F40"/>
      <c r="J40">
        <f>IF($A$77=1000,A43,A40)</f>
        <v>0</v>
      </c>
      <c r="K40">
        <f t="shared" ref="K40:N40" si="7">IF($A$77=1000,B43,B40)</f>
        <v>0</v>
      </c>
      <c r="L40">
        <f>IF($A$77=1000,C42+C43,C40)</f>
        <v>0</v>
      </c>
      <c r="M40">
        <f t="shared" si="5"/>
        <v>0</v>
      </c>
      <c r="N40">
        <f t="shared" si="7"/>
        <v>0</v>
      </c>
      <c r="O40"/>
      <c r="P40" s="2" t="e">
        <f t="shared" si="6"/>
        <v>#DIV/0!</v>
      </c>
      <c r="R40" s="2">
        <f t="shared" si="2"/>
        <v>0</v>
      </c>
      <c r="S40" s="2">
        <f t="shared" si="3"/>
        <v>0</v>
      </c>
      <c r="T40" s="6">
        <f t="shared" ref="T40:U57" si="8">M40-T$37</f>
        <v>0</v>
      </c>
      <c r="U40" s="77">
        <f t="shared" si="8"/>
        <v>0</v>
      </c>
      <c r="V40" s="2" t="e">
        <f>P40-$V$37</f>
        <v>#DIV/0!</v>
      </c>
      <c r="W40" s="77" t="e">
        <f t="shared" ref="W40:W57" si="9">P40-W$37</f>
        <v>#DIV/0!</v>
      </c>
    </row>
    <row r="41" spans="1:23" ht="14.4" x14ac:dyDescent="0.3">
      <c r="A41"/>
      <c r="B41"/>
      <c r="C41"/>
      <c r="D41"/>
      <c r="E41"/>
      <c r="F41"/>
      <c r="J41">
        <f>IF($A$77=1000,A45,A41)</f>
        <v>0</v>
      </c>
      <c r="K41">
        <f t="shared" ref="K41:N41" si="10">IF($A$77=1000,B45,B41)</f>
        <v>0</v>
      </c>
      <c r="L41">
        <f>IF($A$77=1000,C44+C45,C41)</f>
        <v>0</v>
      </c>
      <c r="M41">
        <f t="shared" si="5"/>
        <v>0</v>
      </c>
      <c r="N41">
        <f t="shared" si="10"/>
        <v>0</v>
      </c>
      <c r="O41"/>
      <c r="P41" s="2" t="e">
        <f t="shared" si="6"/>
        <v>#DIV/0!</v>
      </c>
      <c r="R41" s="2">
        <f t="shared" si="2"/>
        <v>0</v>
      </c>
      <c r="S41" s="2">
        <f t="shared" si="3"/>
        <v>0</v>
      </c>
      <c r="T41" s="6">
        <f t="shared" si="8"/>
        <v>0</v>
      </c>
      <c r="U41" s="77">
        <f t="shared" si="8"/>
        <v>0</v>
      </c>
      <c r="V41" s="2" t="e">
        <f t="shared" ref="V41:V57" si="11">P41-$V$37</f>
        <v>#DIV/0!</v>
      </c>
      <c r="W41" s="77" t="e">
        <f t="shared" si="9"/>
        <v>#DIV/0!</v>
      </c>
    </row>
    <row r="42" spans="1:23" ht="14.4" x14ac:dyDescent="0.3">
      <c r="A42"/>
      <c r="B42"/>
      <c r="C42"/>
      <c r="D42"/>
      <c r="E42"/>
      <c r="F42"/>
      <c r="J42">
        <f>IF($A$77=1000,A47,A42)</f>
        <v>0</v>
      </c>
      <c r="K42">
        <f t="shared" ref="K42:N42" si="12">IF($A$77=1000,B47,B42)</f>
        <v>0</v>
      </c>
      <c r="L42">
        <f>IF($A$77=1000,C46+C47,C42)</f>
        <v>0</v>
      </c>
      <c r="M42">
        <f t="shared" si="5"/>
        <v>0</v>
      </c>
      <c r="N42">
        <f t="shared" si="12"/>
        <v>0</v>
      </c>
      <c r="O42"/>
      <c r="P42" s="2" t="e">
        <f t="shared" si="6"/>
        <v>#DIV/0!</v>
      </c>
      <c r="R42" s="2">
        <f t="shared" si="2"/>
        <v>0</v>
      </c>
      <c r="S42" s="2">
        <f t="shared" si="3"/>
        <v>0</v>
      </c>
      <c r="T42" s="6">
        <f t="shared" si="8"/>
        <v>0</v>
      </c>
      <c r="U42" s="77">
        <f t="shared" si="8"/>
        <v>0</v>
      </c>
      <c r="V42" s="2" t="e">
        <f t="shared" si="11"/>
        <v>#DIV/0!</v>
      </c>
      <c r="W42" s="77" t="e">
        <f t="shared" si="9"/>
        <v>#DIV/0!</v>
      </c>
    </row>
    <row r="43" spans="1:23" ht="14.4" x14ac:dyDescent="0.3">
      <c r="A43"/>
      <c r="B43"/>
      <c r="C43"/>
      <c r="D43"/>
      <c r="E43"/>
      <c r="F43"/>
      <c r="J43">
        <f>IF($A$77=1000,A49,A43)</f>
        <v>0</v>
      </c>
      <c r="K43">
        <f t="shared" ref="K43:N43" si="13">IF($A$77=1000,B49,B43)</f>
        <v>0</v>
      </c>
      <c r="L43">
        <f>IF($A$77=1000,C48+C49,C43)</f>
        <v>0</v>
      </c>
      <c r="M43">
        <f t="shared" si="5"/>
        <v>0</v>
      </c>
      <c r="N43">
        <f t="shared" si="13"/>
        <v>0</v>
      </c>
      <c r="O43"/>
      <c r="P43" s="2" t="e">
        <f t="shared" si="6"/>
        <v>#DIV/0!</v>
      </c>
      <c r="R43" s="2">
        <f t="shared" si="2"/>
        <v>0</v>
      </c>
      <c r="S43" s="2">
        <f t="shared" si="3"/>
        <v>0</v>
      </c>
      <c r="T43" s="6">
        <f t="shared" si="8"/>
        <v>0</v>
      </c>
      <c r="U43" s="77">
        <f t="shared" si="8"/>
        <v>0</v>
      </c>
      <c r="V43" s="2" t="e">
        <f t="shared" si="11"/>
        <v>#DIV/0!</v>
      </c>
      <c r="W43" s="77" t="e">
        <f t="shared" si="9"/>
        <v>#DIV/0!</v>
      </c>
    </row>
    <row r="44" spans="1:23" ht="14.4" x14ac:dyDescent="0.3">
      <c r="A44"/>
      <c r="B44"/>
      <c r="C44"/>
      <c r="D44"/>
      <c r="E44"/>
      <c r="F44"/>
      <c r="J44">
        <f>IF($A$77=1000,A51,A44)</f>
        <v>0</v>
      </c>
      <c r="K44">
        <f t="shared" ref="K44:N44" si="14">IF($A$77=1000,B51,B44)</f>
        <v>0</v>
      </c>
      <c r="L44">
        <f>IF($A$77=1000,C50+C51,C44)</f>
        <v>0</v>
      </c>
      <c r="M44">
        <f t="shared" si="5"/>
        <v>0</v>
      </c>
      <c r="N44">
        <f t="shared" si="14"/>
        <v>0</v>
      </c>
      <c r="O44"/>
      <c r="P44" s="2" t="e">
        <f t="shared" si="6"/>
        <v>#DIV/0!</v>
      </c>
      <c r="R44" s="2">
        <f t="shared" si="2"/>
        <v>0</v>
      </c>
      <c r="S44" s="2">
        <f t="shared" si="3"/>
        <v>0</v>
      </c>
      <c r="T44" s="6">
        <f t="shared" si="8"/>
        <v>0</v>
      </c>
      <c r="U44" s="77">
        <f t="shared" si="8"/>
        <v>0</v>
      </c>
      <c r="V44" s="2" t="e">
        <f t="shared" si="11"/>
        <v>#DIV/0!</v>
      </c>
      <c r="W44" s="77" t="e">
        <f t="shared" si="9"/>
        <v>#DIV/0!</v>
      </c>
    </row>
    <row r="45" spans="1:23" ht="14.4" x14ac:dyDescent="0.3">
      <c r="A45"/>
      <c r="B45"/>
      <c r="C45"/>
      <c r="D45"/>
      <c r="E45"/>
      <c r="F45"/>
      <c r="J45">
        <f>IF($A$77=1000,A53,A45)</f>
        <v>0</v>
      </c>
      <c r="K45">
        <f t="shared" ref="K45:N45" si="15">IF($A$77=1000,B53,B45)</f>
        <v>0</v>
      </c>
      <c r="L45">
        <f>IF($A$77=1000,C52+C53,C45)</f>
        <v>0</v>
      </c>
      <c r="M45">
        <f>IF($A$77=1000,50/L45,D45)</f>
        <v>0</v>
      </c>
      <c r="N45">
        <f t="shared" si="15"/>
        <v>0</v>
      </c>
      <c r="O45"/>
      <c r="P45" s="2" t="e">
        <f t="shared" si="6"/>
        <v>#DIV/0!</v>
      </c>
      <c r="R45" s="2">
        <f t="shared" si="2"/>
        <v>0</v>
      </c>
      <c r="S45" s="2">
        <f t="shared" si="3"/>
        <v>0</v>
      </c>
      <c r="T45" s="6">
        <f t="shared" si="8"/>
        <v>0</v>
      </c>
      <c r="U45" s="77">
        <f t="shared" si="8"/>
        <v>0</v>
      </c>
      <c r="V45" s="2" t="e">
        <f t="shared" si="11"/>
        <v>#DIV/0!</v>
      </c>
      <c r="W45" s="77" t="e">
        <f t="shared" si="9"/>
        <v>#DIV/0!</v>
      </c>
    </row>
    <row r="46" spans="1:23" ht="14.4" x14ac:dyDescent="0.3">
      <c r="A46"/>
      <c r="B46"/>
      <c r="C46"/>
      <c r="D46"/>
      <c r="E46"/>
      <c r="F46"/>
      <c r="J46">
        <f>IF($A$77=1000,A55,A46)</f>
        <v>0</v>
      </c>
      <c r="K46">
        <f t="shared" ref="K46:N46" si="16">IF($A$77=1000,B55,B46)</f>
        <v>0</v>
      </c>
      <c r="L46">
        <f>IF($A$77=1000,C54+C55,C46)</f>
        <v>0</v>
      </c>
      <c r="M46">
        <f t="shared" si="5"/>
        <v>0</v>
      </c>
      <c r="N46">
        <f t="shared" si="16"/>
        <v>0</v>
      </c>
      <c r="O46"/>
      <c r="P46" s="2" t="e">
        <f t="shared" si="6"/>
        <v>#DIV/0!</v>
      </c>
      <c r="R46" s="2">
        <f t="shared" si="2"/>
        <v>0</v>
      </c>
      <c r="S46" s="2">
        <f t="shared" si="3"/>
        <v>0</v>
      </c>
      <c r="T46" s="6">
        <f t="shared" si="8"/>
        <v>0</v>
      </c>
      <c r="U46" s="77">
        <f t="shared" si="8"/>
        <v>0</v>
      </c>
      <c r="V46" s="2" t="e">
        <f t="shared" si="11"/>
        <v>#DIV/0!</v>
      </c>
      <c r="W46" s="77" t="e">
        <f t="shared" si="9"/>
        <v>#DIV/0!</v>
      </c>
    </row>
    <row r="47" spans="1:23" ht="14.4" x14ac:dyDescent="0.3">
      <c r="A47"/>
      <c r="B47"/>
      <c r="C47"/>
      <c r="D47"/>
      <c r="E47"/>
      <c r="F47"/>
      <c r="J47">
        <f>IF($A$77=1000,A57,A47)</f>
        <v>0</v>
      </c>
      <c r="K47">
        <f t="shared" ref="K47:N47" si="17">IF($A$77=1000,B57,B47)</f>
        <v>0</v>
      </c>
      <c r="L47">
        <f>IF($A$77=1000,C56+C57,C47)</f>
        <v>0</v>
      </c>
      <c r="M47">
        <f t="shared" si="5"/>
        <v>0</v>
      </c>
      <c r="N47">
        <f t="shared" si="17"/>
        <v>0</v>
      </c>
      <c r="O47"/>
      <c r="P47" s="2" t="e">
        <f t="shared" si="6"/>
        <v>#DIV/0!</v>
      </c>
      <c r="R47" s="2">
        <f t="shared" si="2"/>
        <v>0</v>
      </c>
      <c r="S47" s="2">
        <f t="shared" si="3"/>
        <v>0</v>
      </c>
      <c r="T47" s="6">
        <f t="shared" si="8"/>
        <v>0</v>
      </c>
      <c r="U47" s="77">
        <f t="shared" si="8"/>
        <v>0</v>
      </c>
      <c r="V47" s="2" t="e">
        <f t="shared" si="11"/>
        <v>#DIV/0!</v>
      </c>
      <c r="W47" s="77" t="e">
        <f t="shared" si="9"/>
        <v>#DIV/0!</v>
      </c>
    </row>
    <row r="48" spans="1:23" ht="14.4" x14ac:dyDescent="0.3">
      <c r="A48"/>
      <c r="B48"/>
      <c r="C48"/>
      <c r="D48"/>
      <c r="E48"/>
      <c r="F48"/>
      <c r="J48">
        <f>IF($A$77=1000,A59,A48)</f>
        <v>0</v>
      </c>
      <c r="K48">
        <f t="shared" ref="K48:N48" si="18">IF($A$77=1000,B59,B48)</f>
        <v>0</v>
      </c>
      <c r="L48">
        <f>IF($A$77=1000,C58+C59,C48)</f>
        <v>0</v>
      </c>
      <c r="M48">
        <f t="shared" si="5"/>
        <v>0</v>
      </c>
      <c r="N48">
        <f t="shared" si="18"/>
        <v>0</v>
      </c>
      <c r="O48"/>
      <c r="P48" s="2" t="e">
        <f t="shared" si="6"/>
        <v>#DIV/0!</v>
      </c>
      <c r="R48" s="2">
        <f t="shared" si="2"/>
        <v>0</v>
      </c>
      <c r="S48" s="2">
        <f t="shared" si="3"/>
        <v>0</v>
      </c>
      <c r="T48" s="6">
        <f t="shared" si="8"/>
        <v>0</v>
      </c>
      <c r="U48" s="77">
        <f t="shared" si="8"/>
        <v>0</v>
      </c>
      <c r="V48" s="2" t="e">
        <f t="shared" si="11"/>
        <v>#DIV/0!</v>
      </c>
      <c r="W48" s="77" t="e">
        <f t="shared" si="9"/>
        <v>#DIV/0!</v>
      </c>
    </row>
    <row r="49" spans="1:23" ht="14.4" x14ac:dyDescent="0.3">
      <c r="A49"/>
      <c r="B49" s="263"/>
      <c r="C49"/>
      <c r="D49"/>
      <c r="E49"/>
      <c r="F49"/>
      <c r="J49">
        <f>IF($A$77=1000,A61,A49)</f>
        <v>0</v>
      </c>
      <c r="K49">
        <f t="shared" ref="K49:N49" si="19">IF($A$77=1000,B61,B49)</f>
        <v>0</v>
      </c>
      <c r="L49">
        <f>IF($A$77=1000,C60+C61,C49)</f>
        <v>0</v>
      </c>
      <c r="M49">
        <f t="shared" si="5"/>
        <v>0</v>
      </c>
      <c r="N49">
        <f t="shared" si="19"/>
        <v>0</v>
      </c>
      <c r="O49" s="265"/>
      <c r="P49" s="2" t="e">
        <f t="shared" si="6"/>
        <v>#DIV/0!</v>
      </c>
      <c r="R49" s="2">
        <f t="shared" si="2"/>
        <v>0</v>
      </c>
      <c r="S49" s="2">
        <f t="shared" si="3"/>
        <v>0</v>
      </c>
      <c r="T49" s="6">
        <f t="shared" si="8"/>
        <v>0</v>
      </c>
      <c r="U49" s="77">
        <f t="shared" si="8"/>
        <v>0</v>
      </c>
      <c r="V49" s="2" t="e">
        <f t="shared" si="11"/>
        <v>#DIV/0!</v>
      </c>
      <c r="W49" s="77" t="e">
        <f t="shared" si="9"/>
        <v>#DIV/0!</v>
      </c>
    </row>
    <row r="50" spans="1:23" ht="14.4" x14ac:dyDescent="0.3">
      <c r="A50"/>
      <c r="B50" s="263"/>
      <c r="C50"/>
      <c r="D50"/>
      <c r="E50"/>
      <c r="F50"/>
      <c r="J50">
        <f>IF($A$77=1000,A63,A50)</f>
        <v>0</v>
      </c>
      <c r="K50">
        <f t="shared" ref="K50:N50" si="20">IF($A$77=1000,B63,B50)</f>
        <v>0</v>
      </c>
      <c r="L50">
        <f>IF($A$77=1000,C62+C63,C50)</f>
        <v>0</v>
      </c>
      <c r="M50">
        <f t="shared" si="5"/>
        <v>0</v>
      </c>
      <c r="N50">
        <f t="shared" si="20"/>
        <v>0</v>
      </c>
      <c r="O50" s="265"/>
      <c r="P50" s="2" t="e">
        <f t="shared" si="6"/>
        <v>#DIV/0!</v>
      </c>
      <c r="R50" s="2">
        <f t="shared" si="2"/>
        <v>0</v>
      </c>
      <c r="S50" s="2">
        <f t="shared" si="3"/>
        <v>0</v>
      </c>
      <c r="T50" s="6">
        <f t="shared" si="8"/>
        <v>0</v>
      </c>
      <c r="U50" s="77">
        <f t="shared" si="8"/>
        <v>0</v>
      </c>
      <c r="V50" s="2" t="e">
        <f t="shared" si="11"/>
        <v>#DIV/0!</v>
      </c>
      <c r="W50" s="77" t="e">
        <f t="shared" si="9"/>
        <v>#DIV/0!</v>
      </c>
    </row>
    <row r="51" spans="1:23" ht="14.4" x14ac:dyDescent="0.3">
      <c r="A51"/>
      <c r="B51" s="263"/>
      <c r="C51"/>
      <c r="D51"/>
      <c r="E51"/>
      <c r="F51"/>
      <c r="J51">
        <f>IF($A$77=1000,A65,A51)</f>
        <v>0</v>
      </c>
      <c r="K51">
        <f t="shared" ref="K51:N51" si="21">IF($A$77=1000,B65,B51)</f>
        <v>0</v>
      </c>
      <c r="L51">
        <f>IF($A$77=1000,C64+C65,C51)</f>
        <v>0</v>
      </c>
      <c r="M51">
        <f t="shared" si="5"/>
        <v>0</v>
      </c>
      <c r="N51">
        <f t="shared" si="21"/>
        <v>0</v>
      </c>
      <c r="O51" s="265"/>
      <c r="P51" s="2" t="e">
        <f t="shared" si="6"/>
        <v>#DIV/0!</v>
      </c>
      <c r="R51" s="2">
        <f t="shared" si="2"/>
        <v>0</v>
      </c>
      <c r="S51" s="2">
        <f t="shared" si="3"/>
        <v>0</v>
      </c>
      <c r="T51" s="6">
        <f t="shared" si="8"/>
        <v>0</v>
      </c>
      <c r="U51" s="77">
        <f t="shared" si="8"/>
        <v>0</v>
      </c>
      <c r="V51" s="2" t="e">
        <f t="shared" si="11"/>
        <v>#DIV/0!</v>
      </c>
      <c r="W51" s="77" t="e">
        <f t="shared" si="9"/>
        <v>#DIV/0!</v>
      </c>
    </row>
    <row r="52" spans="1:23" ht="14.4" x14ac:dyDescent="0.3">
      <c r="A52"/>
      <c r="B52" s="263"/>
      <c r="C52"/>
      <c r="D52"/>
      <c r="E52"/>
      <c r="F52"/>
      <c r="J52">
        <f>IF($A$77=1000,A67,A52)</f>
        <v>0</v>
      </c>
      <c r="K52">
        <f t="shared" ref="K52:N52" si="22">IF($A$77=1000,B67,B52)</f>
        <v>0</v>
      </c>
      <c r="L52">
        <f>IF($A$77=1000,C66+C67,C52)</f>
        <v>0</v>
      </c>
      <c r="M52">
        <f t="shared" si="5"/>
        <v>0</v>
      </c>
      <c r="N52">
        <f t="shared" si="22"/>
        <v>0</v>
      </c>
      <c r="O52" s="265"/>
      <c r="P52" s="2" t="e">
        <f t="shared" si="6"/>
        <v>#DIV/0!</v>
      </c>
      <c r="R52" s="2">
        <f t="shared" si="2"/>
        <v>0</v>
      </c>
      <c r="S52" s="2">
        <f t="shared" si="3"/>
        <v>0</v>
      </c>
      <c r="T52" s="6">
        <f t="shared" si="8"/>
        <v>0</v>
      </c>
      <c r="U52" s="77">
        <f t="shared" si="8"/>
        <v>0</v>
      </c>
      <c r="V52" s="2" t="e">
        <f t="shared" si="11"/>
        <v>#DIV/0!</v>
      </c>
      <c r="W52" s="77" t="e">
        <f t="shared" si="9"/>
        <v>#DIV/0!</v>
      </c>
    </row>
    <row r="53" spans="1:23" ht="14.4" x14ac:dyDescent="0.3">
      <c r="A53"/>
      <c r="B53" s="263"/>
      <c r="C53"/>
      <c r="D53"/>
      <c r="E53"/>
      <c r="F53"/>
      <c r="J53">
        <f>IF($A$77=1000,A69,A53)</f>
        <v>0</v>
      </c>
      <c r="K53">
        <f t="shared" ref="K53:N53" si="23">IF($A$77=1000,B69,B53)</f>
        <v>0</v>
      </c>
      <c r="L53">
        <f>IF($A$77=1000,C68+C69,C53)</f>
        <v>0</v>
      </c>
      <c r="M53">
        <f t="shared" si="5"/>
        <v>0</v>
      </c>
      <c r="N53">
        <f t="shared" si="23"/>
        <v>0</v>
      </c>
      <c r="O53" s="265"/>
      <c r="P53" s="2" t="e">
        <f t="shared" si="6"/>
        <v>#DIV/0!</v>
      </c>
      <c r="R53" s="2">
        <f t="shared" si="2"/>
        <v>0</v>
      </c>
      <c r="S53" s="2">
        <f t="shared" si="3"/>
        <v>0</v>
      </c>
      <c r="T53" s="6">
        <f t="shared" si="8"/>
        <v>0</v>
      </c>
      <c r="U53" s="77">
        <f t="shared" si="8"/>
        <v>0</v>
      </c>
      <c r="V53" s="2" t="e">
        <f t="shared" si="11"/>
        <v>#DIV/0!</v>
      </c>
      <c r="W53" s="77" t="e">
        <f t="shared" si="9"/>
        <v>#DIV/0!</v>
      </c>
    </row>
    <row r="54" spans="1:23" ht="14.4" x14ac:dyDescent="0.3">
      <c r="A54"/>
      <c r="B54" s="263"/>
      <c r="C54"/>
      <c r="D54"/>
      <c r="E54"/>
      <c r="F54"/>
      <c r="J54">
        <f>IF($A$77=1000,A71,A54)</f>
        <v>0</v>
      </c>
      <c r="K54">
        <f t="shared" ref="K54:N54" si="24">IF($A$77=1000,B71,B54)</f>
        <v>0</v>
      </c>
      <c r="L54">
        <f>IF($A$77=1000,C70+C71,C54)</f>
        <v>0</v>
      </c>
      <c r="M54">
        <f t="shared" si="5"/>
        <v>0</v>
      </c>
      <c r="N54">
        <f t="shared" si="24"/>
        <v>0</v>
      </c>
      <c r="O54" s="265"/>
      <c r="P54" s="2" t="e">
        <f t="shared" si="6"/>
        <v>#DIV/0!</v>
      </c>
      <c r="R54" s="2">
        <f t="shared" si="2"/>
        <v>0</v>
      </c>
      <c r="S54" s="2">
        <f t="shared" si="3"/>
        <v>0</v>
      </c>
      <c r="T54" s="6">
        <f t="shared" si="8"/>
        <v>0</v>
      </c>
      <c r="U54" s="77">
        <f t="shared" si="8"/>
        <v>0</v>
      </c>
      <c r="V54" s="2" t="e">
        <f t="shared" si="11"/>
        <v>#DIV/0!</v>
      </c>
      <c r="W54" s="77" t="e">
        <f t="shared" si="9"/>
        <v>#DIV/0!</v>
      </c>
    </row>
    <row r="55" spans="1:23" ht="14.4" x14ac:dyDescent="0.3">
      <c r="A55"/>
      <c r="B55" s="263"/>
      <c r="C55"/>
      <c r="D55"/>
      <c r="E55"/>
      <c r="F55"/>
      <c r="J55">
        <f>IF($A$77=1000,A73,A55)</f>
        <v>0</v>
      </c>
      <c r="K55">
        <f t="shared" ref="K55:N55" si="25">IF($A$77=1000,B73,B55)</f>
        <v>0</v>
      </c>
      <c r="L55">
        <f>IF($A$77=1000,C72+C73,C55)</f>
        <v>0</v>
      </c>
      <c r="M55">
        <f t="shared" si="5"/>
        <v>0</v>
      </c>
      <c r="N55">
        <f t="shared" si="25"/>
        <v>0</v>
      </c>
      <c r="O55" s="265"/>
      <c r="P55" s="2" t="e">
        <f t="shared" si="6"/>
        <v>#DIV/0!</v>
      </c>
      <c r="R55" s="2">
        <f t="shared" si="2"/>
        <v>0</v>
      </c>
      <c r="S55" s="2">
        <f t="shared" si="3"/>
        <v>0</v>
      </c>
      <c r="T55" s="6">
        <f t="shared" si="8"/>
        <v>0</v>
      </c>
      <c r="U55" s="77">
        <f t="shared" si="8"/>
        <v>0</v>
      </c>
      <c r="V55" s="2" t="e">
        <f t="shared" si="11"/>
        <v>#DIV/0!</v>
      </c>
      <c r="W55" s="77" t="e">
        <f t="shared" si="9"/>
        <v>#DIV/0!</v>
      </c>
    </row>
    <row r="56" spans="1:23" ht="14.4" x14ac:dyDescent="0.3">
      <c r="A56"/>
      <c r="B56" s="263"/>
      <c r="C56"/>
      <c r="D56"/>
      <c r="E56"/>
      <c r="F56"/>
      <c r="J56">
        <f>IF($A$77=1000,A75,A56)</f>
        <v>0</v>
      </c>
      <c r="K56">
        <f t="shared" ref="K56:N56" si="26">IF($A$77=1000,B75,B56)</f>
        <v>0</v>
      </c>
      <c r="L56">
        <f>IF($A$77=1000,C74+C75,C56)</f>
        <v>0</v>
      </c>
      <c r="M56">
        <f t="shared" si="5"/>
        <v>0</v>
      </c>
      <c r="N56">
        <f t="shared" si="26"/>
        <v>0</v>
      </c>
      <c r="O56" s="265"/>
      <c r="P56" s="2" t="e">
        <f t="shared" si="6"/>
        <v>#DIV/0!</v>
      </c>
      <c r="R56" s="2">
        <f t="shared" si="2"/>
        <v>0</v>
      </c>
      <c r="S56" s="2">
        <f t="shared" si="3"/>
        <v>0</v>
      </c>
      <c r="T56" s="6">
        <f t="shared" si="8"/>
        <v>0</v>
      </c>
      <c r="U56" s="77">
        <f t="shared" si="8"/>
        <v>0</v>
      </c>
      <c r="V56" s="2" t="e">
        <f t="shared" si="11"/>
        <v>#DIV/0!</v>
      </c>
      <c r="W56" s="77" t="e">
        <f t="shared" si="9"/>
        <v>#DIV/0!</v>
      </c>
    </row>
    <row r="57" spans="1:23" ht="14.4" x14ac:dyDescent="0.3">
      <c r="A57"/>
      <c r="B57" s="263"/>
      <c r="C57"/>
      <c r="D57"/>
      <c r="E57"/>
      <c r="F57"/>
      <c r="J57">
        <f>IF($A$77=1000,A77,A57)</f>
        <v>0</v>
      </c>
      <c r="K57">
        <f t="shared" ref="K57:N58" si="27">IF($A$77=1000,B77,B57)</f>
        <v>0</v>
      </c>
      <c r="L57">
        <f>IF($A$77=1000,C76+C77,C57)</f>
        <v>0</v>
      </c>
      <c r="M57">
        <f t="shared" si="5"/>
        <v>0</v>
      </c>
      <c r="N57">
        <f t="shared" si="27"/>
        <v>0</v>
      </c>
      <c r="O57" s="265"/>
      <c r="P57" s="2" t="e">
        <f t="shared" si="6"/>
        <v>#DIV/0!</v>
      </c>
      <c r="R57" s="2">
        <f t="shared" si="2"/>
        <v>0</v>
      </c>
      <c r="S57" s="2">
        <f t="shared" si="3"/>
        <v>0</v>
      </c>
      <c r="T57" s="6">
        <f t="shared" si="8"/>
        <v>0</v>
      </c>
      <c r="U57" s="77">
        <f t="shared" si="8"/>
        <v>0</v>
      </c>
      <c r="V57" s="2" t="e">
        <f t="shared" si="11"/>
        <v>#DIV/0!</v>
      </c>
      <c r="W57" s="77" t="e">
        <f t="shared" si="9"/>
        <v>#DIV/0!</v>
      </c>
    </row>
    <row r="58" spans="1:23" ht="14.4" x14ac:dyDescent="0.3">
      <c r="A58"/>
      <c r="B58"/>
      <c r="C58"/>
      <c r="D58"/>
      <c r="E58"/>
      <c r="F58"/>
      <c r="J58" s="265" t="s">
        <v>291</v>
      </c>
      <c r="K58" s="266"/>
      <c r="L58" s="267">
        <f>IF($A$77=1000,C78,C58)</f>
        <v>0</v>
      </c>
      <c r="M58" s="267">
        <f t="shared" si="27"/>
        <v>0</v>
      </c>
      <c r="N58" s="267">
        <f t="shared" si="27"/>
        <v>0</v>
      </c>
      <c r="O58" s="265"/>
    </row>
    <row r="59" spans="1:23" ht="14.4" x14ac:dyDescent="0.3">
      <c r="A59"/>
      <c r="B59" s="263"/>
      <c r="C59"/>
      <c r="D59"/>
      <c r="E59"/>
      <c r="F59"/>
      <c r="K59" s="4"/>
    </row>
    <row r="60" spans="1:23" ht="14.4" x14ac:dyDescent="0.3">
      <c r="A60"/>
      <c r="B60" s="263"/>
      <c r="C60"/>
      <c r="D60"/>
      <c r="E60"/>
      <c r="F60"/>
      <c r="K60" s="4"/>
    </row>
    <row r="61" spans="1:23" ht="14.4" x14ac:dyDescent="0.3">
      <c r="A61"/>
      <c r="B61" s="263"/>
      <c r="C61"/>
      <c r="D61"/>
      <c r="E61"/>
      <c r="F61"/>
      <c r="K61" s="4"/>
    </row>
    <row r="62" spans="1:23" ht="14.4" x14ac:dyDescent="0.3">
      <c r="A62"/>
      <c r="B62" s="263"/>
      <c r="C62"/>
      <c r="D62"/>
      <c r="E62"/>
      <c r="F62"/>
      <c r="K62" s="4"/>
    </row>
    <row r="63" spans="1:23" ht="14.4" x14ac:dyDescent="0.3">
      <c r="A63"/>
      <c r="B63" s="263"/>
      <c r="C63"/>
      <c r="D63"/>
      <c r="E63"/>
      <c r="F63"/>
      <c r="K63" s="4"/>
    </row>
    <row r="64" spans="1:23" ht="14.4" x14ac:dyDescent="0.3">
      <c r="A64"/>
      <c r="B64" s="263"/>
      <c r="C64"/>
      <c r="D64"/>
      <c r="E64"/>
      <c r="F64"/>
      <c r="K64" s="4"/>
    </row>
    <row r="65" spans="1:11" ht="14.4" x14ac:dyDescent="0.3">
      <c r="A65"/>
      <c r="B65" s="263"/>
      <c r="C65"/>
      <c r="D65"/>
      <c r="E65"/>
      <c r="F65"/>
      <c r="K65" s="4"/>
    </row>
    <row r="66" spans="1:11" ht="14.4" x14ac:dyDescent="0.3">
      <c r="A66"/>
      <c r="B66" s="263"/>
      <c r="C66"/>
      <c r="D66"/>
      <c r="E66"/>
      <c r="F66"/>
    </row>
    <row r="67" spans="1:11" ht="14.4" x14ac:dyDescent="0.3">
      <c r="A67"/>
      <c r="B67" s="263"/>
      <c r="C67"/>
      <c r="D67"/>
      <c r="E67"/>
      <c r="F67"/>
    </row>
    <row r="68" spans="1:11" ht="14.4" x14ac:dyDescent="0.3">
      <c r="A68"/>
      <c r="B68" s="263"/>
      <c r="C68"/>
      <c r="D68"/>
      <c r="E68"/>
      <c r="F68"/>
    </row>
    <row r="69" spans="1:11" ht="14.4" x14ac:dyDescent="0.3">
      <c r="A69"/>
      <c r="B69" s="263"/>
      <c r="C69"/>
      <c r="D69"/>
      <c r="E69"/>
      <c r="F69"/>
    </row>
    <row r="70" spans="1:11" ht="14.4" x14ac:dyDescent="0.3">
      <c r="A70"/>
      <c r="B70" s="263"/>
      <c r="C70"/>
      <c r="D70"/>
      <c r="E70"/>
      <c r="F70"/>
    </row>
    <row r="71" spans="1:11" ht="14.4" x14ac:dyDescent="0.3">
      <c r="A71"/>
      <c r="B71" s="263"/>
      <c r="C71"/>
      <c r="D71"/>
      <c r="E71"/>
      <c r="F71"/>
    </row>
    <row r="72" spans="1:11" ht="14.4" x14ac:dyDescent="0.3">
      <c r="A72"/>
      <c r="B72" s="263"/>
      <c r="C72"/>
      <c r="D72"/>
      <c r="E72"/>
      <c r="F72"/>
    </row>
    <row r="73" spans="1:11" ht="14.4" x14ac:dyDescent="0.3">
      <c r="A73"/>
      <c r="B73" s="263"/>
      <c r="C73"/>
      <c r="D73"/>
      <c r="E73"/>
      <c r="F73"/>
    </row>
    <row r="74" spans="1:11" ht="14.4" x14ac:dyDescent="0.3">
      <c r="A74"/>
      <c r="B74" s="263"/>
      <c r="C74"/>
      <c r="D74"/>
      <c r="E74"/>
      <c r="F74"/>
    </row>
    <row r="75" spans="1:11" ht="14.4" x14ac:dyDescent="0.3">
      <c r="A75"/>
      <c r="B75" s="263"/>
      <c r="C75"/>
      <c r="D75"/>
      <c r="E75"/>
      <c r="F75"/>
    </row>
    <row r="76" spans="1:11" ht="14.4" x14ac:dyDescent="0.3">
      <c r="A76"/>
      <c r="B76" s="263"/>
      <c r="C76"/>
      <c r="D76"/>
      <c r="E76"/>
      <c r="F76"/>
    </row>
    <row r="77" spans="1:11" ht="14.4" x14ac:dyDescent="0.3">
      <c r="A77"/>
      <c r="B77" s="263"/>
      <c r="C77"/>
      <c r="D77"/>
      <c r="E77"/>
      <c r="F77"/>
    </row>
    <row r="78" spans="1:11" ht="14.4" x14ac:dyDescent="0.3">
      <c r="A78"/>
      <c r="B78"/>
      <c r="C78"/>
      <c r="D78"/>
      <c r="E78"/>
      <c r="F78"/>
    </row>
  </sheetData>
  <mergeCells count="13">
    <mergeCell ref="R35:U35"/>
    <mergeCell ref="G1:K2"/>
    <mergeCell ref="A2:D3"/>
    <mergeCell ref="A6:D7"/>
    <mergeCell ref="A11:C11"/>
    <mergeCell ref="D12:E12"/>
    <mergeCell ref="D17:E17"/>
    <mergeCell ref="D18:E18"/>
    <mergeCell ref="D19:E19"/>
    <mergeCell ref="D20:E20"/>
    <mergeCell ref="D21:E21"/>
    <mergeCell ref="D22:E22"/>
    <mergeCell ref="A33:F3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9" r:id="rId4" name="Button 7">
              <controlPr defaultSize="0" print="0" autoFill="0" autoPict="0" macro="[0]!Paste_Clipboard">
                <anchor moveWithCells="1" sizeWithCells="1">
                  <from>
                    <xdr:col>9</xdr:col>
                    <xdr:colOff>640080</xdr:colOff>
                    <xdr:row>31</xdr:row>
                    <xdr:rowOff>83820</xdr:rowOff>
                  </from>
                  <to>
                    <xdr:col>12</xdr:col>
                    <xdr:colOff>541020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EnterAutoDate">
                <anchor moveWithCells="1" sizeWithCells="1">
                  <from>
                    <xdr:col>1</xdr:col>
                    <xdr:colOff>30480</xdr:colOff>
                    <xdr:row>11</xdr:row>
                    <xdr:rowOff>38100</xdr:rowOff>
                  </from>
                  <to>
                    <xdr:col>1</xdr:col>
                    <xdr:colOff>670560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200-000000000000}">
          <x14:formula1>
            <xm:f>'Lookup Table'!$AT$2:$AT$4</xm:f>
          </x14:formula1>
          <xm:sqref>D22:E22</xm:sqref>
        </x14:dataValidation>
        <x14:dataValidation type="list" allowBlank="1" showInputMessage="1" showErrorMessage="1" xr:uid="{00000000-0002-0000-0200-000001000000}">
          <x14:formula1>
            <xm:f>'Lookup Table'!$AR$2:$AR$5</xm:f>
          </x14:formula1>
          <xm:sqref>D21:E21</xm:sqref>
        </x14:dataValidation>
        <x14:dataValidation type="list" allowBlank="1" showInputMessage="1" showErrorMessage="1" xr:uid="{00000000-0002-0000-0200-000002000000}">
          <x14:formula1>
            <xm:f>'Lookup Table'!$AP$2:$AP$4</xm:f>
          </x14:formula1>
          <xm:sqref>D20:E20</xm:sqref>
        </x14:dataValidation>
        <x14:dataValidation type="list" allowBlank="1" showInputMessage="1" showErrorMessage="1" xr:uid="{00000000-0002-0000-0200-000003000000}">
          <x14:formula1>
            <xm:f>'Lookup Table'!$AC$2:$AC$11</xm:f>
          </x14:formula1>
          <xm:sqref>D19:E19</xm:sqref>
        </x14:dataValidation>
        <x14:dataValidation type="list" allowBlank="1" showInputMessage="1" showErrorMessage="1" xr:uid="{00000000-0002-0000-0200-000004000000}">
          <x14:formula1>
            <xm:f>'Lookup Table'!$AJ$2:$AJ$11</xm:f>
          </x14:formula1>
          <xm:sqref>D18:E18</xm:sqref>
        </x14:dataValidation>
        <x14:dataValidation type="list" allowBlank="1" showInputMessage="1" showErrorMessage="1" xr:uid="{00000000-0002-0000-0200-000005000000}">
          <x14:formula1>
            <xm:f>'Lookup Table'!$AB$2:$AB$8</xm:f>
          </x14:formula1>
          <xm:sqref>D17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9"/>
  </sheetPr>
  <dimension ref="A1:AE78"/>
  <sheetViews>
    <sheetView zoomScaleNormal="100" workbookViewId="0">
      <selection activeCell="D12" sqref="D12:E12"/>
    </sheetView>
  </sheetViews>
  <sheetFormatPr defaultColWidth="9.109375" defaultRowHeight="11.4" x14ac:dyDescent="0.2"/>
  <cols>
    <col min="1" max="1" width="9.109375" style="2"/>
    <col min="2" max="2" width="9.6640625" style="2" bestFit="1" customWidth="1"/>
    <col min="3" max="3" width="10.33203125" style="2" customWidth="1"/>
    <col min="4" max="4" width="8.109375" style="2" customWidth="1"/>
    <col min="5" max="6" width="9.109375" style="2"/>
    <col min="7" max="16" width="9.109375" style="2" customWidth="1"/>
    <col min="17" max="16384" width="9.109375" style="2"/>
  </cols>
  <sheetData>
    <row r="1" spans="1:31" s="33" customFormat="1" ht="12" x14ac:dyDescent="0.25">
      <c r="G1" s="288" t="s">
        <v>99</v>
      </c>
      <c r="H1" s="288"/>
      <c r="I1" s="288"/>
      <c r="J1" s="288"/>
      <c r="K1" s="288"/>
    </row>
    <row r="2" spans="1:31" s="33" customFormat="1" ht="12" x14ac:dyDescent="0.25">
      <c r="A2" s="291" t="s">
        <v>187</v>
      </c>
      <c r="B2" s="291"/>
      <c r="C2" s="291"/>
      <c r="D2" s="291"/>
      <c r="G2" s="288"/>
      <c r="H2" s="288"/>
      <c r="I2" s="288"/>
      <c r="J2" s="288"/>
      <c r="K2" s="288"/>
    </row>
    <row r="3" spans="1:31" s="33" customFormat="1" ht="12" x14ac:dyDescent="0.25">
      <c r="A3" s="291"/>
      <c r="B3" s="291"/>
      <c r="C3" s="291"/>
      <c r="D3" s="291"/>
      <c r="G3" s="40"/>
      <c r="H3" s="35"/>
    </row>
    <row r="4" spans="1:31" s="33" customFormat="1" ht="16.5" customHeight="1" x14ac:dyDescent="0.25">
      <c r="F4" s="30" t="s">
        <v>127</v>
      </c>
      <c r="G4" s="29"/>
      <c r="H4" s="35"/>
    </row>
    <row r="5" spans="1:31" s="9" customFormat="1" ht="12" x14ac:dyDescent="0.25">
      <c r="D5" s="8"/>
      <c r="E5" s="8"/>
      <c r="F5" s="34" t="s">
        <v>106</v>
      </c>
      <c r="G5" s="43" t="str">
        <f>'Event SetUp'!D3</f>
        <v>Fletcher Cunningham</v>
      </c>
      <c r="H5" s="29"/>
      <c r="Q5" s="10"/>
      <c r="R5" s="5"/>
      <c r="S5" s="11"/>
      <c r="T5" s="5"/>
      <c r="V5" s="11"/>
      <c r="W5" s="5"/>
      <c r="X5" s="2"/>
      <c r="Y5" s="2"/>
      <c r="Z5" s="2"/>
      <c r="AA5" s="2"/>
      <c r="AB5" s="2"/>
      <c r="AC5" s="2"/>
      <c r="AD5" s="2"/>
      <c r="AE5" s="2"/>
    </row>
    <row r="6" spans="1:31" s="9" customFormat="1" ht="11.85" customHeight="1" x14ac:dyDescent="0.25">
      <c r="A6" s="290" t="s">
        <v>131</v>
      </c>
      <c r="B6" s="290"/>
      <c r="C6" s="290"/>
      <c r="D6" s="290"/>
      <c r="E6" s="8"/>
      <c r="F6" s="34" t="s">
        <v>107</v>
      </c>
      <c r="G6" s="43">
        <f>'Event SetUp'!D4</f>
        <v>0</v>
      </c>
      <c r="H6" s="29"/>
      <c r="M6" s="2"/>
      <c r="N6" s="2"/>
      <c r="O6" s="2"/>
      <c r="P6" s="2"/>
      <c r="Q6" s="10"/>
      <c r="R6" s="5"/>
      <c r="S6" s="11"/>
      <c r="T6" s="5"/>
      <c r="V6" s="11"/>
      <c r="W6" s="5"/>
      <c r="X6" s="2"/>
      <c r="Y6" s="2"/>
      <c r="Z6" s="2"/>
      <c r="AA6" s="2"/>
      <c r="AB6" s="2"/>
      <c r="AC6" s="2"/>
      <c r="AD6" s="2"/>
      <c r="AE6" s="2"/>
    </row>
    <row r="7" spans="1:31" s="9" customFormat="1" ht="11.85" customHeight="1" x14ac:dyDescent="0.25">
      <c r="A7" s="290"/>
      <c r="B7" s="290"/>
      <c r="C7" s="290"/>
      <c r="D7" s="290"/>
      <c r="E7" s="8"/>
      <c r="F7" s="34" t="s">
        <v>108</v>
      </c>
      <c r="G7" s="43">
        <f>'Event SetUp'!D5</f>
        <v>0</v>
      </c>
      <c r="H7" s="29"/>
      <c r="M7" s="2"/>
      <c r="N7" s="2"/>
      <c r="O7" s="2"/>
      <c r="P7" s="2"/>
      <c r="Q7" s="10"/>
      <c r="R7" s="5"/>
      <c r="S7" s="11"/>
      <c r="T7" s="5"/>
      <c r="V7" s="11"/>
      <c r="W7" s="5"/>
      <c r="X7" s="2"/>
      <c r="Y7" s="2"/>
      <c r="Z7" s="2"/>
      <c r="AA7" s="2"/>
      <c r="AB7" s="2"/>
      <c r="AC7" s="2"/>
      <c r="AD7" s="2"/>
      <c r="AE7" s="2"/>
    </row>
    <row r="8" spans="1:31" s="9" customFormat="1" ht="12" x14ac:dyDescent="0.25">
      <c r="D8" s="8"/>
      <c r="E8" s="8"/>
      <c r="F8" s="34" t="s">
        <v>109</v>
      </c>
      <c r="G8" s="43">
        <f>'Event SetUp'!D6</f>
        <v>0</v>
      </c>
      <c r="H8" s="29"/>
      <c r="M8" s="2"/>
      <c r="N8" s="2"/>
      <c r="O8" s="2"/>
      <c r="P8" s="2"/>
      <c r="Q8" s="10"/>
      <c r="R8" s="5"/>
      <c r="S8" s="11"/>
      <c r="T8" s="5"/>
      <c r="V8" s="11"/>
      <c r="W8" s="5"/>
      <c r="X8" s="2"/>
      <c r="Y8" s="2"/>
      <c r="Z8" s="2"/>
      <c r="AA8" s="2"/>
      <c r="AB8" s="2"/>
      <c r="AC8" s="2"/>
      <c r="AD8" s="2"/>
      <c r="AE8" s="2"/>
    </row>
    <row r="9" spans="1:31" ht="12" x14ac:dyDescent="0.25">
      <c r="D9" s="8"/>
      <c r="E9" s="8"/>
      <c r="F9" s="8"/>
      <c r="G9" s="29"/>
      <c r="H9" s="29"/>
      <c r="Q9" s="10"/>
      <c r="R9" s="5"/>
      <c r="S9" s="11"/>
      <c r="T9" s="5"/>
      <c r="U9" s="9"/>
      <c r="V9" s="11"/>
      <c r="W9" s="5"/>
    </row>
    <row r="10" spans="1:31" ht="12" x14ac:dyDescent="0.25">
      <c r="A10" s="34"/>
      <c r="B10" s="39"/>
      <c r="D10" s="8"/>
      <c r="E10" s="8"/>
      <c r="F10" s="8"/>
      <c r="G10" s="29"/>
      <c r="H10" s="29"/>
      <c r="Q10" s="10"/>
      <c r="R10" s="5"/>
      <c r="S10" s="11"/>
      <c r="T10" s="5"/>
      <c r="U10" s="9"/>
      <c r="V10" s="11"/>
      <c r="W10" s="5"/>
    </row>
    <row r="11" spans="1:31" ht="13.8" x14ac:dyDescent="0.3">
      <c r="A11" s="289" t="s">
        <v>155</v>
      </c>
      <c r="B11" s="289"/>
      <c r="C11" s="289"/>
      <c r="D11" s="42" t="s">
        <v>126</v>
      </c>
      <c r="E11" s="32"/>
      <c r="F11" s="33"/>
      <c r="G11" s="35"/>
      <c r="H11" s="29"/>
      <c r="Q11" s="10"/>
      <c r="R11" s="5"/>
      <c r="S11" s="11"/>
      <c r="T11" s="5"/>
      <c r="U11" s="9"/>
      <c r="V11" s="11"/>
      <c r="W11" s="5"/>
    </row>
    <row r="12" spans="1:31" ht="20.25" customHeight="1" x14ac:dyDescent="0.3">
      <c r="A12" s="38"/>
      <c r="B12"/>
      <c r="C12" s="33"/>
      <c r="D12" s="287">
        <v>43875</v>
      </c>
      <c r="E12" s="287"/>
      <c r="F12" s="45"/>
      <c r="G12" s="44">
        <f>D12</f>
        <v>43875</v>
      </c>
      <c r="H12" s="29"/>
      <c r="J12" s="55"/>
      <c r="O12" s="56"/>
      <c r="Q12" s="10"/>
      <c r="R12" s="5"/>
      <c r="S12" s="11"/>
      <c r="T12" s="5"/>
      <c r="U12" s="54"/>
      <c r="V12" s="11"/>
      <c r="W12" s="5"/>
    </row>
    <row r="13" spans="1:31" ht="20.25" customHeight="1" x14ac:dyDescent="0.25">
      <c r="B13" s="9"/>
      <c r="F13" s="25"/>
      <c r="G13" s="37"/>
      <c r="H13" s="37"/>
      <c r="Q13" s="10"/>
      <c r="R13" s="5"/>
      <c r="S13" s="11"/>
      <c r="T13" s="5"/>
      <c r="U13" s="9"/>
      <c r="V13" s="11"/>
      <c r="W13" s="5"/>
    </row>
    <row r="14" spans="1:31" ht="20.25" customHeight="1" x14ac:dyDescent="0.25">
      <c r="B14" s="9"/>
      <c r="F14" s="25"/>
      <c r="G14" s="37"/>
      <c r="H14" s="37"/>
      <c r="Q14" s="10"/>
      <c r="R14" s="5"/>
      <c r="S14" s="11"/>
      <c r="T14" s="5"/>
      <c r="U14" s="5"/>
      <c r="V14" s="11"/>
      <c r="W14" s="5"/>
    </row>
    <row r="15" spans="1:31" ht="20.25" customHeight="1" x14ac:dyDescent="0.25">
      <c r="B15" s="9"/>
      <c r="D15" s="9" t="s">
        <v>102</v>
      </c>
      <c r="F15" s="25"/>
      <c r="G15" s="37"/>
      <c r="H15" s="37"/>
      <c r="T15" s="5"/>
    </row>
    <row r="16" spans="1:31" ht="20.25" customHeight="1" x14ac:dyDescent="0.25">
      <c r="B16" s="25"/>
      <c r="D16" s="13"/>
      <c r="F16" s="25"/>
      <c r="G16" s="37"/>
      <c r="H16" s="37"/>
      <c r="T16" s="5"/>
    </row>
    <row r="17" spans="1:20" ht="20.25" customHeight="1" x14ac:dyDescent="0.25">
      <c r="A17" s="15" t="s">
        <v>112</v>
      </c>
      <c r="B17" s="25"/>
      <c r="C17" s="18"/>
      <c r="D17" s="292" t="s">
        <v>14</v>
      </c>
      <c r="E17" s="292"/>
      <c r="F17" s="14"/>
      <c r="G17" s="36"/>
      <c r="H17" s="37"/>
      <c r="T17" s="5"/>
    </row>
    <row r="18" spans="1:20" ht="20.25" customHeight="1" x14ac:dyDescent="0.25">
      <c r="A18" s="15" t="s">
        <v>8</v>
      </c>
      <c r="B18" s="1"/>
      <c r="D18" s="292">
        <v>1</v>
      </c>
      <c r="E18" s="292"/>
      <c r="F18" s="16"/>
      <c r="G18" s="36"/>
      <c r="H18" s="37"/>
      <c r="T18" s="5"/>
    </row>
    <row r="19" spans="1:20" ht="20.25" customHeight="1" x14ac:dyDescent="0.25">
      <c r="A19" s="15" t="s">
        <v>103</v>
      </c>
      <c r="D19" s="293" t="s">
        <v>15</v>
      </c>
      <c r="E19" s="293"/>
      <c r="G19" s="36"/>
      <c r="H19" s="37"/>
    </row>
    <row r="20" spans="1:20" ht="20.25" customHeight="1" x14ac:dyDescent="0.25">
      <c r="A20" s="19" t="s">
        <v>104</v>
      </c>
      <c r="D20" s="293">
        <v>0</v>
      </c>
      <c r="E20" s="293"/>
      <c r="G20" s="36"/>
      <c r="H20" s="37"/>
    </row>
    <row r="21" spans="1:20" ht="20.25" customHeight="1" x14ac:dyDescent="0.25">
      <c r="A21" s="12" t="s">
        <v>113</v>
      </c>
      <c r="D21" s="293" t="s">
        <v>128</v>
      </c>
      <c r="E21" s="293"/>
      <c r="G21" s="36"/>
      <c r="H21" s="37"/>
    </row>
    <row r="22" spans="1:20" ht="20.100000000000001" customHeight="1" x14ac:dyDescent="0.25">
      <c r="A22" s="12" t="s">
        <v>120</v>
      </c>
      <c r="B22" s="27"/>
      <c r="D22" s="293" t="s">
        <v>117</v>
      </c>
      <c r="E22" s="293"/>
      <c r="G22" s="36"/>
      <c r="H22" s="37"/>
    </row>
    <row r="23" spans="1:20" ht="20.100000000000001" customHeight="1" x14ac:dyDescent="0.25">
      <c r="A23" s="31" t="s">
        <v>121</v>
      </c>
      <c r="D23" s="47">
        <v>2.4349537037037035E-3</v>
      </c>
      <c r="G23" s="36"/>
      <c r="H23" s="29"/>
      <c r="J23" s="27"/>
    </row>
    <row r="24" spans="1:20" ht="20.100000000000001" customHeight="1" x14ac:dyDescent="0.25">
      <c r="A24" s="31" t="s">
        <v>122</v>
      </c>
      <c r="D24" s="47">
        <v>2.4120370370370368E-3</v>
      </c>
      <c r="G24" s="36"/>
      <c r="H24" s="29"/>
    </row>
    <row r="25" spans="1:20" x14ac:dyDescent="0.2">
      <c r="D25" s="4"/>
      <c r="G25" s="29"/>
      <c r="H25" s="29"/>
    </row>
    <row r="26" spans="1:20" ht="12" x14ac:dyDescent="0.25">
      <c r="A26" s="20" t="s">
        <v>105</v>
      </c>
      <c r="B26" s="21"/>
      <c r="C26" s="21"/>
      <c r="D26" s="22"/>
      <c r="E26" s="21"/>
      <c r="F26" s="21"/>
      <c r="G26" s="21"/>
      <c r="H26" s="21"/>
      <c r="I26" s="21"/>
      <c r="J26" s="21"/>
      <c r="K26" s="21"/>
      <c r="L26" s="21"/>
      <c r="M26" s="21"/>
    </row>
    <row r="27" spans="1:20" ht="12" x14ac:dyDescent="0.25">
      <c r="B27" s="1" t="s">
        <v>106</v>
      </c>
      <c r="C27" s="1" t="s">
        <v>107</v>
      </c>
      <c r="D27" s="1" t="s">
        <v>108</v>
      </c>
      <c r="E27" s="1" t="s">
        <v>109</v>
      </c>
    </row>
    <row r="28" spans="1:20" ht="24" x14ac:dyDescent="0.25">
      <c r="A28" s="23" t="s">
        <v>110</v>
      </c>
      <c r="B28" s="24"/>
      <c r="C28" s="24"/>
      <c r="D28" s="24"/>
      <c r="E28" s="24"/>
    </row>
    <row r="29" spans="1:20" ht="12" x14ac:dyDescent="0.25">
      <c r="A29" s="25"/>
      <c r="B29" s="9"/>
      <c r="C29" s="9"/>
      <c r="D29" s="9"/>
      <c r="E29" s="9"/>
    </row>
    <row r="30" spans="1:20" ht="24" x14ac:dyDescent="0.25">
      <c r="A30" s="23" t="s">
        <v>111</v>
      </c>
      <c r="B30" s="24"/>
      <c r="C30" s="24"/>
      <c r="D30" s="24"/>
      <c r="E30" s="24"/>
    </row>
    <row r="31" spans="1:20" x14ac:dyDescent="0.2">
      <c r="A31" s="4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</row>
    <row r="33" spans="1:23" x14ac:dyDescent="0.2">
      <c r="A33" s="294" t="s">
        <v>298</v>
      </c>
      <c r="B33" s="294"/>
      <c r="C33" s="294"/>
      <c r="D33" s="294"/>
      <c r="E33" s="294"/>
      <c r="F33" s="294"/>
    </row>
    <row r="34" spans="1:23" x14ac:dyDescent="0.2">
      <c r="A34" s="294"/>
      <c r="B34" s="294"/>
      <c r="C34" s="294"/>
      <c r="D34" s="294"/>
      <c r="E34" s="294"/>
      <c r="F34" s="294"/>
      <c r="J34" s="9"/>
      <c r="K34" s="9"/>
      <c r="L34" s="9"/>
      <c r="M34" s="9"/>
      <c r="N34" s="9"/>
    </row>
    <row r="35" spans="1:23" ht="12" x14ac:dyDescent="0.25">
      <c r="A35" s="294"/>
      <c r="B35" s="294"/>
      <c r="C35" s="294"/>
      <c r="D35" s="294"/>
      <c r="E35" s="294"/>
      <c r="F35" s="294"/>
      <c r="J35" s="9"/>
      <c r="K35" s="28"/>
      <c r="L35" s="28"/>
      <c r="M35" s="28"/>
      <c r="N35" s="28"/>
      <c r="R35" s="286" t="s">
        <v>248</v>
      </c>
      <c r="S35" s="286"/>
      <c r="T35" s="286"/>
      <c r="U35" s="286"/>
    </row>
    <row r="36" spans="1:23" ht="14.4" x14ac:dyDescent="0.3">
      <c r="A36" t="s">
        <v>101</v>
      </c>
      <c r="B36"/>
      <c r="C36" t="s">
        <v>132</v>
      </c>
      <c r="D36" t="s">
        <v>289</v>
      </c>
      <c r="E36" t="s">
        <v>87</v>
      </c>
      <c r="F36" s="263"/>
      <c r="J36" t="str">
        <f>A36</f>
        <v>Race</v>
      </c>
      <c r="K36"/>
      <c r="L36" t="str">
        <f t="shared" ref="K36:O37" si="0">C36</f>
        <v>Dist</v>
      </c>
      <c r="M36" t="str">
        <f t="shared" si="0"/>
        <v>1000m</v>
      </c>
      <c r="N36" t="str">
        <f t="shared" si="0"/>
        <v>Time</v>
      </c>
      <c r="O36" s="264">
        <f t="shared" si="0"/>
        <v>0</v>
      </c>
      <c r="R36" s="2" t="s">
        <v>257</v>
      </c>
      <c r="S36" s="2" t="s">
        <v>256</v>
      </c>
      <c r="T36" s="2" t="s">
        <v>258</v>
      </c>
      <c r="U36" s="2" t="s">
        <v>259</v>
      </c>
    </row>
    <row r="37" spans="1:23" ht="14.4" x14ac:dyDescent="0.3">
      <c r="A37"/>
      <c r="B37"/>
      <c r="C37"/>
      <c r="D37"/>
      <c r="E37"/>
      <c r="F37"/>
      <c r="J37">
        <f>A37</f>
        <v>0</v>
      </c>
      <c r="K37">
        <f t="shared" si="0"/>
        <v>0</v>
      </c>
      <c r="L37">
        <f t="shared" si="0"/>
        <v>0</v>
      </c>
      <c r="M37">
        <f t="shared" si="0"/>
        <v>0</v>
      </c>
      <c r="N37">
        <f t="shared" si="0"/>
        <v>0</v>
      </c>
      <c r="O37"/>
      <c r="P37" s="2" t="s">
        <v>255</v>
      </c>
      <c r="R37" s="2">
        <f>AVERAGE(M38:M57)</f>
        <v>0</v>
      </c>
      <c r="S37" s="2">
        <f>AVERAGE(N38:N57)</f>
        <v>0</v>
      </c>
      <c r="T37" s="6">
        <f>AVERAGE(M40:M57)</f>
        <v>0</v>
      </c>
      <c r="U37" s="6">
        <f>AVERAGE(N40:N57)</f>
        <v>0</v>
      </c>
      <c r="V37" s="2" t="e">
        <f>AVERAGE(P38:P57)</f>
        <v>#DIV/0!</v>
      </c>
      <c r="W37" s="6" t="e">
        <f>AVERAGE(P40:P57)</f>
        <v>#DIV/0!</v>
      </c>
    </row>
    <row r="38" spans="1:23" ht="14.4" x14ac:dyDescent="0.3">
      <c r="A38"/>
      <c r="B38"/>
      <c r="C38"/>
      <c r="D38"/>
      <c r="E38"/>
      <c r="F38"/>
      <c r="J38">
        <f>IF($A$77=1000,A39,A38)</f>
        <v>0</v>
      </c>
      <c r="K38">
        <f t="shared" ref="K38:N38" si="1">IF($A$77=1000,B39,B38)</f>
        <v>0</v>
      </c>
      <c r="L38">
        <f>IF($A$77=1000,C38+C39,C38)</f>
        <v>0</v>
      </c>
      <c r="M38">
        <f>IF($A$77=1000,50/L38,D38)</f>
        <v>0</v>
      </c>
      <c r="N38">
        <f t="shared" si="1"/>
        <v>0</v>
      </c>
      <c r="O38"/>
      <c r="P38" s="2" t="e">
        <f>(M38^3)/(N38/60)</f>
        <v>#DIV/0!</v>
      </c>
      <c r="R38" s="2">
        <f t="shared" ref="R38:R57" si="2">M38-$R$37</f>
        <v>0</v>
      </c>
      <c r="S38" s="2">
        <f t="shared" ref="S38:S57" si="3">N38-$S$37</f>
        <v>0</v>
      </c>
      <c r="V38" s="2" t="e">
        <f>P38-$V$37</f>
        <v>#DIV/0!</v>
      </c>
    </row>
    <row r="39" spans="1:23" ht="14.4" x14ac:dyDescent="0.3">
      <c r="A39"/>
      <c r="B39"/>
      <c r="C39"/>
      <c r="D39"/>
      <c r="E39"/>
      <c r="F39"/>
      <c r="J39">
        <f>IF($A$77=1000,A41,A39)</f>
        <v>0</v>
      </c>
      <c r="K39">
        <f t="shared" ref="K39:N39" si="4">IF($A$77=1000,B41,B39)</f>
        <v>0</v>
      </c>
      <c r="L39">
        <f>IF($A$77=1000,C40+C41,C39)</f>
        <v>0</v>
      </c>
      <c r="M39">
        <f t="shared" ref="M39:M57" si="5">IF($A$77=1000,50/L39,D39)</f>
        <v>0</v>
      </c>
      <c r="N39">
        <f t="shared" si="4"/>
        <v>0</v>
      </c>
      <c r="O39"/>
      <c r="P39" s="2" t="e">
        <f t="shared" ref="P39:P57" si="6">(M39^3)/(N39/60)</f>
        <v>#DIV/0!</v>
      </c>
      <c r="R39" s="6">
        <f t="shared" si="2"/>
        <v>0</v>
      </c>
      <c r="S39" s="2">
        <f t="shared" si="3"/>
        <v>0</v>
      </c>
      <c r="V39" s="2" t="e">
        <f>P39-$V$37</f>
        <v>#DIV/0!</v>
      </c>
    </row>
    <row r="40" spans="1:23" ht="14.4" x14ac:dyDescent="0.3">
      <c r="A40"/>
      <c r="B40"/>
      <c r="C40"/>
      <c r="D40"/>
      <c r="E40"/>
      <c r="F40"/>
      <c r="J40">
        <f>IF($A$77=1000,A43,A40)</f>
        <v>0</v>
      </c>
      <c r="K40">
        <f t="shared" ref="K40:N40" si="7">IF($A$77=1000,B43,B40)</f>
        <v>0</v>
      </c>
      <c r="L40">
        <f>IF($A$77=1000,C42+C43,C40)</f>
        <v>0</v>
      </c>
      <c r="M40">
        <f t="shared" si="5"/>
        <v>0</v>
      </c>
      <c r="N40">
        <f t="shared" si="7"/>
        <v>0</v>
      </c>
      <c r="O40"/>
      <c r="P40" s="2" t="e">
        <f t="shared" si="6"/>
        <v>#DIV/0!</v>
      </c>
      <c r="R40" s="2">
        <f t="shared" si="2"/>
        <v>0</v>
      </c>
      <c r="S40" s="2">
        <f t="shared" si="3"/>
        <v>0</v>
      </c>
      <c r="T40" s="6">
        <f t="shared" ref="T40:U57" si="8">M40-T$37</f>
        <v>0</v>
      </c>
      <c r="U40" s="77">
        <f t="shared" si="8"/>
        <v>0</v>
      </c>
      <c r="V40" s="2" t="e">
        <f>P40-$V$37</f>
        <v>#DIV/0!</v>
      </c>
      <c r="W40" s="77" t="e">
        <f t="shared" ref="W40:W57" si="9">P40-W$37</f>
        <v>#DIV/0!</v>
      </c>
    </row>
    <row r="41" spans="1:23" ht="14.4" x14ac:dyDescent="0.3">
      <c r="A41"/>
      <c r="B41"/>
      <c r="C41"/>
      <c r="D41"/>
      <c r="E41"/>
      <c r="F41"/>
      <c r="J41">
        <f>IF($A$77=1000,A45,A41)</f>
        <v>0</v>
      </c>
      <c r="K41">
        <f t="shared" ref="K41:N41" si="10">IF($A$77=1000,B45,B41)</f>
        <v>0</v>
      </c>
      <c r="L41">
        <f>IF($A$77=1000,C44+C45,C41)</f>
        <v>0</v>
      </c>
      <c r="M41">
        <f t="shared" si="5"/>
        <v>0</v>
      </c>
      <c r="N41">
        <f t="shared" si="10"/>
        <v>0</v>
      </c>
      <c r="O41"/>
      <c r="P41" s="2" t="e">
        <f t="shared" si="6"/>
        <v>#DIV/0!</v>
      </c>
      <c r="R41" s="2">
        <f t="shared" si="2"/>
        <v>0</v>
      </c>
      <c r="S41" s="2">
        <f t="shared" si="3"/>
        <v>0</v>
      </c>
      <c r="T41" s="6">
        <f t="shared" si="8"/>
        <v>0</v>
      </c>
      <c r="U41" s="77">
        <f t="shared" si="8"/>
        <v>0</v>
      </c>
      <c r="V41" s="2" t="e">
        <f t="shared" ref="V41:V57" si="11">P41-$V$37</f>
        <v>#DIV/0!</v>
      </c>
      <c r="W41" s="77" t="e">
        <f t="shared" si="9"/>
        <v>#DIV/0!</v>
      </c>
    </row>
    <row r="42" spans="1:23" ht="14.4" x14ac:dyDescent="0.3">
      <c r="A42"/>
      <c r="B42"/>
      <c r="C42"/>
      <c r="D42"/>
      <c r="E42"/>
      <c r="F42"/>
      <c r="J42">
        <f>IF($A$77=1000,A47,A42)</f>
        <v>0</v>
      </c>
      <c r="K42">
        <f t="shared" ref="K42:N42" si="12">IF($A$77=1000,B47,B42)</f>
        <v>0</v>
      </c>
      <c r="L42">
        <f>IF($A$77=1000,C46+C47,C42)</f>
        <v>0</v>
      </c>
      <c r="M42">
        <f t="shared" si="5"/>
        <v>0</v>
      </c>
      <c r="N42">
        <f t="shared" si="12"/>
        <v>0</v>
      </c>
      <c r="O42"/>
      <c r="P42" s="2" t="e">
        <f t="shared" si="6"/>
        <v>#DIV/0!</v>
      </c>
      <c r="R42" s="2">
        <f t="shared" si="2"/>
        <v>0</v>
      </c>
      <c r="S42" s="2">
        <f t="shared" si="3"/>
        <v>0</v>
      </c>
      <c r="T42" s="6">
        <f t="shared" si="8"/>
        <v>0</v>
      </c>
      <c r="U42" s="77">
        <f t="shared" si="8"/>
        <v>0</v>
      </c>
      <c r="V42" s="2" t="e">
        <f t="shared" si="11"/>
        <v>#DIV/0!</v>
      </c>
      <c r="W42" s="77" t="e">
        <f t="shared" si="9"/>
        <v>#DIV/0!</v>
      </c>
    </row>
    <row r="43" spans="1:23" ht="14.4" x14ac:dyDescent="0.3">
      <c r="A43"/>
      <c r="B43"/>
      <c r="C43"/>
      <c r="D43"/>
      <c r="E43"/>
      <c r="F43"/>
      <c r="J43">
        <f>IF($A$77=1000,A49,A43)</f>
        <v>0</v>
      </c>
      <c r="K43">
        <f t="shared" ref="K43:N43" si="13">IF($A$77=1000,B49,B43)</f>
        <v>0</v>
      </c>
      <c r="L43">
        <f>IF($A$77=1000,C48+C49,C43)</f>
        <v>0</v>
      </c>
      <c r="M43">
        <f t="shared" si="5"/>
        <v>0</v>
      </c>
      <c r="N43">
        <f t="shared" si="13"/>
        <v>0</v>
      </c>
      <c r="O43"/>
      <c r="P43" s="2" t="e">
        <f t="shared" si="6"/>
        <v>#DIV/0!</v>
      </c>
      <c r="R43" s="2">
        <f t="shared" si="2"/>
        <v>0</v>
      </c>
      <c r="S43" s="2">
        <f t="shared" si="3"/>
        <v>0</v>
      </c>
      <c r="T43" s="6">
        <f t="shared" si="8"/>
        <v>0</v>
      </c>
      <c r="U43" s="77">
        <f t="shared" si="8"/>
        <v>0</v>
      </c>
      <c r="V43" s="2" t="e">
        <f t="shared" si="11"/>
        <v>#DIV/0!</v>
      </c>
      <c r="W43" s="77" t="e">
        <f t="shared" si="9"/>
        <v>#DIV/0!</v>
      </c>
    </row>
    <row r="44" spans="1:23" ht="14.4" x14ac:dyDescent="0.3">
      <c r="A44"/>
      <c r="B44"/>
      <c r="C44"/>
      <c r="D44"/>
      <c r="E44"/>
      <c r="F44"/>
      <c r="J44">
        <f>IF($A$77=1000,A51,A44)</f>
        <v>0</v>
      </c>
      <c r="K44">
        <f t="shared" ref="K44:N44" si="14">IF($A$77=1000,B51,B44)</f>
        <v>0</v>
      </c>
      <c r="L44">
        <f>IF($A$77=1000,C50+C51,C44)</f>
        <v>0</v>
      </c>
      <c r="M44">
        <f t="shared" si="5"/>
        <v>0</v>
      </c>
      <c r="N44">
        <f t="shared" si="14"/>
        <v>0</v>
      </c>
      <c r="O44"/>
      <c r="P44" s="2" t="e">
        <f t="shared" si="6"/>
        <v>#DIV/0!</v>
      </c>
      <c r="R44" s="2">
        <f t="shared" si="2"/>
        <v>0</v>
      </c>
      <c r="S44" s="2">
        <f t="shared" si="3"/>
        <v>0</v>
      </c>
      <c r="T44" s="6">
        <f t="shared" si="8"/>
        <v>0</v>
      </c>
      <c r="U44" s="77">
        <f t="shared" si="8"/>
        <v>0</v>
      </c>
      <c r="V44" s="2" t="e">
        <f t="shared" si="11"/>
        <v>#DIV/0!</v>
      </c>
      <c r="W44" s="77" t="e">
        <f t="shared" si="9"/>
        <v>#DIV/0!</v>
      </c>
    </row>
    <row r="45" spans="1:23" ht="14.4" x14ac:dyDescent="0.3">
      <c r="A45"/>
      <c r="B45"/>
      <c r="C45"/>
      <c r="D45"/>
      <c r="E45"/>
      <c r="F45"/>
      <c r="J45">
        <f>IF($A$77=1000,A53,A45)</f>
        <v>0</v>
      </c>
      <c r="K45">
        <f t="shared" ref="K45:N45" si="15">IF($A$77=1000,B53,B45)</f>
        <v>0</v>
      </c>
      <c r="L45">
        <f>IF($A$77=1000,C52+C53,C45)</f>
        <v>0</v>
      </c>
      <c r="M45">
        <f>IF($A$77=1000,50/L45,D45)</f>
        <v>0</v>
      </c>
      <c r="N45">
        <f t="shared" si="15"/>
        <v>0</v>
      </c>
      <c r="O45"/>
      <c r="P45" s="2" t="e">
        <f t="shared" si="6"/>
        <v>#DIV/0!</v>
      </c>
      <c r="R45" s="2">
        <f t="shared" si="2"/>
        <v>0</v>
      </c>
      <c r="S45" s="2">
        <f t="shared" si="3"/>
        <v>0</v>
      </c>
      <c r="T45" s="6">
        <f t="shared" si="8"/>
        <v>0</v>
      </c>
      <c r="U45" s="77">
        <f t="shared" si="8"/>
        <v>0</v>
      </c>
      <c r="V45" s="2" t="e">
        <f t="shared" si="11"/>
        <v>#DIV/0!</v>
      </c>
      <c r="W45" s="77" t="e">
        <f t="shared" si="9"/>
        <v>#DIV/0!</v>
      </c>
    </row>
    <row r="46" spans="1:23" ht="14.4" x14ac:dyDescent="0.3">
      <c r="A46"/>
      <c r="B46"/>
      <c r="C46"/>
      <c r="D46"/>
      <c r="E46"/>
      <c r="F46"/>
      <c r="J46">
        <f>IF($A$77=1000,A55,A46)</f>
        <v>0</v>
      </c>
      <c r="K46">
        <f t="shared" ref="K46:N46" si="16">IF($A$77=1000,B55,B46)</f>
        <v>0</v>
      </c>
      <c r="L46">
        <f>IF($A$77=1000,C54+C55,C46)</f>
        <v>0</v>
      </c>
      <c r="M46">
        <f t="shared" si="5"/>
        <v>0</v>
      </c>
      <c r="N46">
        <f t="shared" si="16"/>
        <v>0</v>
      </c>
      <c r="O46"/>
      <c r="P46" s="2" t="e">
        <f t="shared" si="6"/>
        <v>#DIV/0!</v>
      </c>
      <c r="R46" s="2">
        <f t="shared" si="2"/>
        <v>0</v>
      </c>
      <c r="S46" s="2">
        <f t="shared" si="3"/>
        <v>0</v>
      </c>
      <c r="T46" s="6">
        <f t="shared" si="8"/>
        <v>0</v>
      </c>
      <c r="U46" s="77">
        <f t="shared" si="8"/>
        <v>0</v>
      </c>
      <c r="V46" s="2" t="e">
        <f t="shared" si="11"/>
        <v>#DIV/0!</v>
      </c>
      <c r="W46" s="77" t="e">
        <f t="shared" si="9"/>
        <v>#DIV/0!</v>
      </c>
    </row>
    <row r="47" spans="1:23" ht="14.4" x14ac:dyDescent="0.3">
      <c r="A47"/>
      <c r="B47"/>
      <c r="C47"/>
      <c r="D47"/>
      <c r="E47"/>
      <c r="F47"/>
      <c r="J47">
        <f>IF($A$77=1000,A57,A47)</f>
        <v>0</v>
      </c>
      <c r="K47">
        <f t="shared" ref="K47:N47" si="17">IF($A$77=1000,B57,B47)</f>
        <v>0</v>
      </c>
      <c r="L47">
        <f>IF($A$77=1000,C56+C57,C47)</f>
        <v>0</v>
      </c>
      <c r="M47">
        <f t="shared" si="5"/>
        <v>0</v>
      </c>
      <c r="N47">
        <f t="shared" si="17"/>
        <v>0</v>
      </c>
      <c r="O47"/>
      <c r="P47" s="2" t="e">
        <f t="shared" si="6"/>
        <v>#DIV/0!</v>
      </c>
      <c r="R47" s="2">
        <f t="shared" si="2"/>
        <v>0</v>
      </c>
      <c r="S47" s="2">
        <f t="shared" si="3"/>
        <v>0</v>
      </c>
      <c r="T47" s="6">
        <f t="shared" si="8"/>
        <v>0</v>
      </c>
      <c r="U47" s="77">
        <f t="shared" si="8"/>
        <v>0</v>
      </c>
      <c r="V47" s="2" t="e">
        <f t="shared" si="11"/>
        <v>#DIV/0!</v>
      </c>
      <c r="W47" s="77" t="e">
        <f t="shared" si="9"/>
        <v>#DIV/0!</v>
      </c>
    </row>
    <row r="48" spans="1:23" ht="14.4" x14ac:dyDescent="0.3">
      <c r="A48"/>
      <c r="B48"/>
      <c r="C48"/>
      <c r="D48"/>
      <c r="E48"/>
      <c r="F48"/>
      <c r="J48">
        <f>IF($A$77=1000,A59,A48)</f>
        <v>0</v>
      </c>
      <c r="K48">
        <f t="shared" ref="K48:N48" si="18">IF($A$77=1000,B59,B48)</f>
        <v>0</v>
      </c>
      <c r="L48">
        <f>IF($A$77=1000,C58+C59,C48)</f>
        <v>0</v>
      </c>
      <c r="M48">
        <f t="shared" si="5"/>
        <v>0</v>
      </c>
      <c r="N48">
        <f t="shared" si="18"/>
        <v>0</v>
      </c>
      <c r="O48"/>
      <c r="P48" s="2" t="e">
        <f t="shared" si="6"/>
        <v>#DIV/0!</v>
      </c>
      <c r="R48" s="2">
        <f t="shared" si="2"/>
        <v>0</v>
      </c>
      <c r="S48" s="2">
        <f t="shared" si="3"/>
        <v>0</v>
      </c>
      <c r="T48" s="6">
        <f t="shared" si="8"/>
        <v>0</v>
      </c>
      <c r="U48" s="77">
        <f t="shared" si="8"/>
        <v>0</v>
      </c>
      <c r="V48" s="2" t="e">
        <f t="shared" si="11"/>
        <v>#DIV/0!</v>
      </c>
      <c r="W48" s="77" t="e">
        <f t="shared" si="9"/>
        <v>#DIV/0!</v>
      </c>
    </row>
    <row r="49" spans="1:23" ht="14.4" x14ac:dyDescent="0.3">
      <c r="A49"/>
      <c r="B49" s="263"/>
      <c r="C49"/>
      <c r="D49"/>
      <c r="E49"/>
      <c r="F49"/>
      <c r="J49">
        <f>IF($A$77=1000,A61,A49)</f>
        <v>0</v>
      </c>
      <c r="K49">
        <f t="shared" ref="K49:N49" si="19">IF($A$77=1000,B61,B49)</f>
        <v>0</v>
      </c>
      <c r="L49">
        <f>IF($A$77=1000,C60+C61,C49)</f>
        <v>0</v>
      </c>
      <c r="M49">
        <f t="shared" si="5"/>
        <v>0</v>
      </c>
      <c r="N49">
        <f t="shared" si="19"/>
        <v>0</v>
      </c>
      <c r="O49" s="265"/>
      <c r="P49" s="2" t="e">
        <f t="shared" si="6"/>
        <v>#DIV/0!</v>
      </c>
      <c r="R49" s="2">
        <f t="shared" si="2"/>
        <v>0</v>
      </c>
      <c r="S49" s="2">
        <f t="shared" si="3"/>
        <v>0</v>
      </c>
      <c r="T49" s="6">
        <f t="shared" si="8"/>
        <v>0</v>
      </c>
      <c r="U49" s="77">
        <f t="shared" si="8"/>
        <v>0</v>
      </c>
      <c r="V49" s="2" t="e">
        <f t="shared" si="11"/>
        <v>#DIV/0!</v>
      </c>
      <c r="W49" s="77" t="e">
        <f t="shared" si="9"/>
        <v>#DIV/0!</v>
      </c>
    </row>
    <row r="50" spans="1:23" ht="14.4" x14ac:dyDescent="0.3">
      <c r="A50"/>
      <c r="B50" s="263"/>
      <c r="C50"/>
      <c r="D50"/>
      <c r="E50"/>
      <c r="F50"/>
      <c r="J50">
        <f>IF($A$77=1000,A63,A50)</f>
        <v>0</v>
      </c>
      <c r="K50">
        <f t="shared" ref="K50:N50" si="20">IF($A$77=1000,B63,B50)</f>
        <v>0</v>
      </c>
      <c r="L50">
        <f>IF($A$77=1000,C62+C63,C50)</f>
        <v>0</v>
      </c>
      <c r="M50">
        <f t="shared" si="5"/>
        <v>0</v>
      </c>
      <c r="N50">
        <f t="shared" si="20"/>
        <v>0</v>
      </c>
      <c r="O50" s="265"/>
      <c r="P50" s="2" t="e">
        <f t="shared" si="6"/>
        <v>#DIV/0!</v>
      </c>
      <c r="R50" s="2">
        <f t="shared" si="2"/>
        <v>0</v>
      </c>
      <c r="S50" s="2">
        <f t="shared" si="3"/>
        <v>0</v>
      </c>
      <c r="T50" s="6">
        <f t="shared" si="8"/>
        <v>0</v>
      </c>
      <c r="U50" s="77">
        <f t="shared" si="8"/>
        <v>0</v>
      </c>
      <c r="V50" s="2" t="e">
        <f t="shared" si="11"/>
        <v>#DIV/0!</v>
      </c>
      <c r="W50" s="77" t="e">
        <f t="shared" si="9"/>
        <v>#DIV/0!</v>
      </c>
    </row>
    <row r="51" spans="1:23" ht="14.4" x14ac:dyDescent="0.3">
      <c r="A51"/>
      <c r="B51" s="263"/>
      <c r="C51"/>
      <c r="D51"/>
      <c r="E51"/>
      <c r="F51"/>
      <c r="J51">
        <f>IF($A$77=1000,A65,A51)</f>
        <v>0</v>
      </c>
      <c r="K51">
        <f t="shared" ref="K51:N51" si="21">IF($A$77=1000,B65,B51)</f>
        <v>0</v>
      </c>
      <c r="L51">
        <f>IF($A$77=1000,C64+C65,C51)</f>
        <v>0</v>
      </c>
      <c r="M51">
        <f t="shared" si="5"/>
        <v>0</v>
      </c>
      <c r="N51">
        <f t="shared" si="21"/>
        <v>0</v>
      </c>
      <c r="O51" s="265"/>
      <c r="P51" s="2" t="e">
        <f t="shared" si="6"/>
        <v>#DIV/0!</v>
      </c>
      <c r="R51" s="2">
        <f t="shared" si="2"/>
        <v>0</v>
      </c>
      <c r="S51" s="2">
        <f t="shared" si="3"/>
        <v>0</v>
      </c>
      <c r="T51" s="6">
        <f t="shared" si="8"/>
        <v>0</v>
      </c>
      <c r="U51" s="77">
        <f t="shared" si="8"/>
        <v>0</v>
      </c>
      <c r="V51" s="2" t="e">
        <f t="shared" si="11"/>
        <v>#DIV/0!</v>
      </c>
      <c r="W51" s="77" t="e">
        <f t="shared" si="9"/>
        <v>#DIV/0!</v>
      </c>
    </row>
    <row r="52" spans="1:23" ht="14.4" x14ac:dyDescent="0.3">
      <c r="A52"/>
      <c r="B52" s="263"/>
      <c r="C52"/>
      <c r="D52"/>
      <c r="E52"/>
      <c r="F52"/>
      <c r="J52">
        <f>IF($A$77=1000,A67,A52)</f>
        <v>0</v>
      </c>
      <c r="K52">
        <f t="shared" ref="K52:N52" si="22">IF($A$77=1000,B67,B52)</f>
        <v>0</v>
      </c>
      <c r="L52">
        <f>IF($A$77=1000,C66+C67,C52)</f>
        <v>0</v>
      </c>
      <c r="M52">
        <f t="shared" si="5"/>
        <v>0</v>
      </c>
      <c r="N52">
        <f t="shared" si="22"/>
        <v>0</v>
      </c>
      <c r="O52" s="265"/>
      <c r="P52" s="2" t="e">
        <f t="shared" si="6"/>
        <v>#DIV/0!</v>
      </c>
      <c r="R52" s="2">
        <f t="shared" si="2"/>
        <v>0</v>
      </c>
      <c r="S52" s="2">
        <f t="shared" si="3"/>
        <v>0</v>
      </c>
      <c r="T52" s="6">
        <f t="shared" si="8"/>
        <v>0</v>
      </c>
      <c r="U52" s="77">
        <f t="shared" si="8"/>
        <v>0</v>
      </c>
      <c r="V52" s="2" t="e">
        <f t="shared" si="11"/>
        <v>#DIV/0!</v>
      </c>
      <c r="W52" s="77" t="e">
        <f t="shared" si="9"/>
        <v>#DIV/0!</v>
      </c>
    </row>
    <row r="53" spans="1:23" ht="14.4" x14ac:dyDescent="0.3">
      <c r="A53"/>
      <c r="B53" s="263"/>
      <c r="C53"/>
      <c r="D53"/>
      <c r="E53"/>
      <c r="F53"/>
      <c r="J53">
        <f>IF($A$77=1000,A69,A53)</f>
        <v>0</v>
      </c>
      <c r="K53">
        <f t="shared" ref="K53:N53" si="23">IF($A$77=1000,B69,B53)</f>
        <v>0</v>
      </c>
      <c r="L53">
        <f>IF($A$77=1000,C68+C69,C53)</f>
        <v>0</v>
      </c>
      <c r="M53">
        <f t="shared" si="5"/>
        <v>0</v>
      </c>
      <c r="N53">
        <f t="shared" si="23"/>
        <v>0</v>
      </c>
      <c r="O53" s="265"/>
      <c r="P53" s="2" t="e">
        <f t="shared" si="6"/>
        <v>#DIV/0!</v>
      </c>
      <c r="R53" s="2">
        <f t="shared" si="2"/>
        <v>0</v>
      </c>
      <c r="S53" s="2">
        <f t="shared" si="3"/>
        <v>0</v>
      </c>
      <c r="T53" s="6">
        <f t="shared" si="8"/>
        <v>0</v>
      </c>
      <c r="U53" s="77">
        <f t="shared" si="8"/>
        <v>0</v>
      </c>
      <c r="V53" s="2" t="e">
        <f t="shared" si="11"/>
        <v>#DIV/0!</v>
      </c>
      <c r="W53" s="77" t="e">
        <f t="shared" si="9"/>
        <v>#DIV/0!</v>
      </c>
    </row>
    <row r="54" spans="1:23" ht="14.4" x14ac:dyDescent="0.3">
      <c r="A54"/>
      <c r="B54" s="263"/>
      <c r="C54"/>
      <c r="D54"/>
      <c r="E54"/>
      <c r="F54"/>
      <c r="J54">
        <f>IF($A$77=1000,A71,A54)</f>
        <v>0</v>
      </c>
      <c r="K54">
        <f t="shared" ref="K54:N54" si="24">IF($A$77=1000,B71,B54)</f>
        <v>0</v>
      </c>
      <c r="L54">
        <f>IF($A$77=1000,C70+C71,C54)</f>
        <v>0</v>
      </c>
      <c r="M54">
        <f t="shared" si="5"/>
        <v>0</v>
      </c>
      <c r="N54">
        <f t="shared" si="24"/>
        <v>0</v>
      </c>
      <c r="O54" s="265"/>
      <c r="P54" s="2" t="e">
        <f t="shared" si="6"/>
        <v>#DIV/0!</v>
      </c>
      <c r="R54" s="2">
        <f t="shared" si="2"/>
        <v>0</v>
      </c>
      <c r="S54" s="2">
        <f t="shared" si="3"/>
        <v>0</v>
      </c>
      <c r="T54" s="6">
        <f t="shared" si="8"/>
        <v>0</v>
      </c>
      <c r="U54" s="77">
        <f t="shared" si="8"/>
        <v>0</v>
      </c>
      <c r="V54" s="2" t="e">
        <f t="shared" si="11"/>
        <v>#DIV/0!</v>
      </c>
      <c r="W54" s="77" t="e">
        <f t="shared" si="9"/>
        <v>#DIV/0!</v>
      </c>
    </row>
    <row r="55" spans="1:23" ht="14.4" x14ac:dyDescent="0.3">
      <c r="A55"/>
      <c r="B55" s="263"/>
      <c r="C55"/>
      <c r="D55"/>
      <c r="E55"/>
      <c r="F55"/>
      <c r="J55">
        <f>IF($A$77=1000,A73,A55)</f>
        <v>0</v>
      </c>
      <c r="K55">
        <f t="shared" ref="K55:N55" si="25">IF($A$77=1000,B73,B55)</f>
        <v>0</v>
      </c>
      <c r="L55">
        <f>IF($A$77=1000,C72+C73,C55)</f>
        <v>0</v>
      </c>
      <c r="M55">
        <f t="shared" si="5"/>
        <v>0</v>
      </c>
      <c r="N55">
        <f t="shared" si="25"/>
        <v>0</v>
      </c>
      <c r="O55" s="265"/>
      <c r="P55" s="2" t="e">
        <f t="shared" si="6"/>
        <v>#DIV/0!</v>
      </c>
      <c r="R55" s="2">
        <f t="shared" si="2"/>
        <v>0</v>
      </c>
      <c r="S55" s="2">
        <f t="shared" si="3"/>
        <v>0</v>
      </c>
      <c r="T55" s="6">
        <f t="shared" si="8"/>
        <v>0</v>
      </c>
      <c r="U55" s="77">
        <f t="shared" si="8"/>
        <v>0</v>
      </c>
      <c r="V55" s="2" t="e">
        <f t="shared" si="11"/>
        <v>#DIV/0!</v>
      </c>
      <c r="W55" s="77" t="e">
        <f t="shared" si="9"/>
        <v>#DIV/0!</v>
      </c>
    </row>
    <row r="56" spans="1:23" ht="14.4" x14ac:dyDescent="0.3">
      <c r="A56"/>
      <c r="B56" s="263"/>
      <c r="C56"/>
      <c r="D56"/>
      <c r="E56"/>
      <c r="F56"/>
      <c r="J56">
        <f>IF($A$77=1000,A75,A56)</f>
        <v>0</v>
      </c>
      <c r="K56">
        <f t="shared" ref="K56:N56" si="26">IF($A$77=1000,B75,B56)</f>
        <v>0</v>
      </c>
      <c r="L56">
        <f>IF($A$77=1000,C74+C75,C56)</f>
        <v>0</v>
      </c>
      <c r="M56">
        <f t="shared" si="5"/>
        <v>0</v>
      </c>
      <c r="N56">
        <f t="shared" si="26"/>
        <v>0</v>
      </c>
      <c r="O56" s="265"/>
      <c r="P56" s="2" t="e">
        <f t="shared" si="6"/>
        <v>#DIV/0!</v>
      </c>
      <c r="R56" s="2">
        <f t="shared" si="2"/>
        <v>0</v>
      </c>
      <c r="S56" s="2">
        <f t="shared" si="3"/>
        <v>0</v>
      </c>
      <c r="T56" s="6">
        <f t="shared" si="8"/>
        <v>0</v>
      </c>
      <c r="U56" s="77">
        <f t="shared" si="8"/>
        <v>0</v>
      </c>
      <c r="V56" s="2" t="e">
        <f t="shared" si="11"/>
        <v>#DIV/0!</v>
      </c>
      <c r="W56" s="77" t="e">
        <f t="shared" si="9"/>
        <v>#DIV/0!</v>
      </c>
    </row>
    <row r="57" spans="1:23" ht="14.4" x14ac:dyDescent="0.3">
      <c r="A57"/>
      <c r="B57" s="263"/>
      <c r="C57"/>
      <c r="D57"/>
      <c r="E57"/>
      <c r="F57"/>
      <c r="J57">
        <f>IF($A$77=1000,A77,A57)</f>
        <v>0</v>
      </c>
      <c r="K57">
        <f t="shared" ref="K57:N58" si="27">IF($A$77=1000,B77,B57)</f>
        <v>0</v>
      </c>
      <c r="L57">
        <f>IF($A$77=1000,C76+C77,C57)</f>
        <v>0</v>
      </c>
      <c r="M57">
        <f t="shared" si="5"/>
        <v>0</v>
      </c>
      <c r="N57">
        <f t="shared" si="27"/>
        <v>0</v>
      </c>
      <c r="O57" s="265"/>
      <c r="P57" s="2" t="e">
        <f t="shared" si="6"/>
        <v>#DIV/0!</v>
      </c>
      <c r="R57" s="2">
        <f t="shared" si="2"/>
        <v>0</v>
      </c>
      <c r="S57" s="2">
        <f t="shared" si="3"/>
        <v>0</v>
      </c>
      <c r="T57" s="6">
        <f t="shared" si="8"/>
        <v>0</v>
      </c>
      <c r="U57" s="77">
        <f t="shared" si="8"/>
        <v>0</v>
      </c>
      <c r="V57" s="2" t="e">
        <f t="shared" si="11"/>
        <v>#DIV/0!</v>
      </c>
      <c r="W57" s="77" t="e">
        <f t="shared" si="9"/>
        <v>#DIV/0!</v>
      </c>
    </row>
    <row r="58" spans="1:23" ht="14.4" x14ac:dyDescent="0.3">
      <c r="A58"/>
      <c r="B58" s="263"/>
      <c r="C58"/>
      <c r="D58"/>
      <c r="E58"/>
      <c r="F58"/>
      <c r="J58" s="265" t="s">
        <v>291</v>
      </c>
      <c r="K58" s="266"/>
      <c r="L58" s="267">
        <f>IF($A$77=1000,C78,C58)</f>
        <v>0</v>
      </c>
      <c r="M58" s="267">
        <f t="shared" si="27"/>
        <v>0</v>
      </c>
      <c r="N58" s="267">
        <f t="shared" si="27"/>
        <v>0</v>
      </c>
      <c r="O58" s="265"/>
    </row>
    <row r="59" spans="1:23" ht="14.4" x14ac:dyDescent="0.3">
      <c r="A59"/>
      <c r="B59" s="263"/>
      <c r="C59"/>
      <c r="D59"/>
      <c r="E59"/>
      <c r="F59"/>
    </row>
    <row r="60" spans="1:23" ht="14.4" x14ac:dyDescent="0.3">
      <c r="A60"/>
      <c r="B60" s="263"/>
      <c r="C60"/>
      <c r="D60"/>
      <c r="E60"/>
      <c r="F60"/>
    </row>
    <row r="61" spans="1:23" ht="14.4" x14ac:dyDescent="0.3">
      <c r="A61"/>
      <c r="B61" s="263"/>
      <c r="C61"/>
      <c r="D61"/>
      <c r="E61"/>
      <c r="F61"/>
    </row>
    <row r="62" spans="1:23" ht="14.4" x14ac:dyDescent="0.3">
      <c r="A62"/>
      <c r="B62" s="263"/>
      <c r="C62"/>
      <c r="D62"/>
      <c r="E62"/>
      <c r="F62"/>
    </row>
    <row r="63" spans="1:23" ht="14.4" x14ac:dyDescent="0.3">
      <c r="A63"/>
      <c r="B63" s="263"/>
      <c r="C63"/>
      <c r="D63"/>
      <c r="E63"/>
      <c r="F63"/>
    </row>
    <row r="64" spans="1:23" ht="14.4" x14ac:dyDescent="0.3">
      <c r="A64"/>
      <c r="B64" s="263"/>
      <c r="C64"/>
      <c r="D64"/>
      <c r="E64"/>
      <c r="F64"/>
    </row>
    <row r="65" spans="1:6" ht="14.4" x14ac:dyDescent="0.3">
      <c r="A65"/>
      <c r="B65" s="263"/>
      <c r="C65"/>
      <c r="D65"/>
      <c r="E65"/>
      <c r="F65"/>
    </row>
    <row r="66" spans="1:6" ht="14.4" x14ac:dyDescent="0.3">
      <c r="A66"/>
      <c r="B66" s="263"/>
      <c r="C66"/>
      <c r="D66"/>
      <c r="E66"/>
      <c r="F66"/>
    </row>
    <row r="67" spans="1:6" ht="14.4" x14ac:dyDescent="0.3">
      <c r="A67"/>
      <c r="B67" s="263"/>
      <c r="C67"/>
      <c r="D67"/>
      <c r="E67"/>
      <c r="F67"/>
    </row>
    <row r="68" spans="1:6" ht="14.4" x14ac:dyDescent="0.3">
      <c r="A68"/>
      <c r="B68" s="263"/>
      <c r="C68"/>
      <c r="D68"/>
      <c r="E68"/>
      <c r="F68"/>
    </row>
    <row r="69" spans="1:6" ht="14.4" x14ac:dyDescent="0.3">
      <c r="A69"/>
      <c r="B69" s="263"/>
      <c r="C69"/>
      <c r="D69"/>
      <c r="E69"/>
      <c r="F69"/>
    </row>
    <row r="70" spans="1:6" ht="14.4" x14ac:dyDescent="0.3">
      <c r="A70"/>
      <c r="B70" s="263"/>
      <c r="C70"/>
      <c r="D70"/>
      <c r="E70"/>
      <c r="F70"/>
    </row>
    <row r="71" spans="1:6" ht="14.4" x14ac:dyDescent="0.3">
      <c r="A71"/>
      <c r="B71" s="263"/>
      <c r="C71"/>
      <c r="D71"/>
      <c r="E71"/>
      <c r="F71"/>
    </row>
    <row r="72" spans="1:6" ht="14.4" x14ac:dyDescent="0.3">
      <c r="A72"/>
      <c r="B72" s="263"/>
      <c r="C72"/>
      <c r="D72"/>
      <c r="E72"/>
      <c r="F72"/>
    </row>
    <row r="73" spans="1:6" ht="14.4" x14ac:dyDescent="0.3">
      <c r="A73"/>
      <c r="B73" s="263"/>
      <c r="C73"/>
      <c r="D73"/>
      <c r="E73"/>
      <c r="F73"/>
    </row>
    <row r="74" spans="1:6" ht="14.4" x14ac:dyDescent="0.3">
      <c r="A74"/>
      <c r="B74" s="263"/>
      <c r="C74"/>
      <c r="D74"/>
      <c r="E74"/>
      <c r="F74"/>
    </row>
    <row r="75" spans="1:6" ht="14.4" x14ac:dyDescent="0.3">
      <c r="A75"/>
      <c r="B75" s="263"/>
      <c r="C75"/>
      <c r="D75"/>
      <c r="E75"/>
      <c r="F75"/>
    </row>
    <row r="76" spans="1:6" ht="14.4" x14ac:dyDescent="0.3">
      <c r="A76"/>
      <c r="B76" s="263"/>
      <c r="C76"/>
      <c r="D76"/>
      <c r="E76"/>
      <c r="F76"/>
    </row>
    <row r="77" spans="1:6" ht="14.4" x14ac:dyDescent="0.3">
      <c r="A77"/>
      <c r="B77" s="263"/>
      <c r="C77"/>
      <c r="D77"/>
      <c r="E77"/>
      <c r="F77"/>
    </row>
    <row r="78" spans="1:6" ht="14.4" x14ac:dyDescent="0.3">
      <c r="A78"/>
      <c r="B78"/>
      <c r="C78"/>
      <c r="D78"/>
      <c r="E78"/>
      <c r="F78"/>
    </row>
  </sheetData>
  <mergeCells count="13">
    <mergeCell ref="R35:U35"/>
    <mergeCell ref="G1:K2"/>
    <mergeCell ref="A2:D3"/>
    <mergeCell ref="A6:D7"/>
    <mergeCell ref="A11:C11"/>
    <mergeCell ref="D12:E12"/>
    <mergeCell ref="D17:E17"/>
    <mergeCell ref="D18:E18"/>
    <mergeCell ref="D19:E19"/>
    <mergeCell ref="D20:E20"/>
    <mergeCell ref="D21:E21"/>
    <mergeCell ref="D22:E22"/>
    <mergeCell ref="A33:F3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Paste_Clipboard">
                <anchor moveWithCells="1" sizeWithCells="1">
                  <from>
                    <xdr:col>9</xdr:col>
                    <xdr:colOff>640080</xdr:colOff>
                    <xdr:row>31</xdr:row>
                    <xdr:rowOff>83820</xdr:rowOff>
                  </from>
                  <to>
                    <xdr:col>12</xdr:col>
                    <xdr:colOff>541020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5" name="Button 8">
              <controlPr defaultSize="0" print="0" autoFill="0" autoPict="0" macro="[0]!EnterAutoDate">
                <anchor moveWithCells="1" sizeWithCells="1">
                  <from>
                    <xdr:col>1</xdr:col>
                    <xdr:colOff>30480</xdr:colOff>
                    <xdr:row>11</xdr:row>
                    <xdr:rowOff>38100</xdr:rowOff>
                  </from>
                  <to>
                    <xdr:col>1</xdr:col>
                    <xdr:colOff>670560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 xr:uid="{00000000-0002-0000-0300-000000000000}">
          <x14:formula1>
            <xm:f>'Lookup Table'!$AB$2:$AB$8</xm:f>
          </x14:formula1>
          <xm:sqref>D17</xm:sqref>
        </x14:dataValidation>
        <x14:dataValidation type="list" allowBlank="1" showInputMessage="1" showErrorMessage="1" xr:uid="{00000000-0002-0000-0300-000001000000}">
          <x14:formula1>
            <xm:f>'Lookup Table'!$AJ$2:$AJ$11</xm:f>
          </x14:formula1>
          <xm:sqref>D18:E18</xm:sqref>
        </x14:dataValidation>
        <x14:dataValidation type="list" allowBlank="1" showInputMessage="1" showErrorMessage="1" xr:uid="{00000000-0002-0000-0300-000002000000}">
          <x14:formula1>
            <xm:f>'Lookup Table'!$AC$2:$AC$11</xm:f>
          </x14:formula1>
          <xm:sqref>D19:E19</xm:sqref>
        </x14:dataValidation>
        <x14:dataValidation type="list" allowBlank="1" showInputMessage="1" showErrorMessage="1" xr:uid="{00000000-0002-0000-0300-000003000000}">
          <x14:formula1>
            <xm:f>'Lookup Table'!$AP$2:$AP$4</xm:f>
          </x14:formula1>
          <xm:sqref>D20:E20</xm:sqref>
        </x14:dataValidation>
        <x14:dataValidation type="list" allowBlank="1" showInputMessage="1" showErrorMessage="1" xr:uid="{00000000-0002-0000-0300-000004000000}">
          <x14:formula1>
            <xm:f>'Lookup Table'!$AR$2:$AR$5</xm:f>
          </x14:formula1>
          <xm:sqref>D21:E21</xm:sqref>
        </x14:dataValidation>
        <x14:dataValidation type="list" allowBlank="1" showInputMessage="1" showErrorMessage="1" xr:uid="{00000000-0002-0000-0300-000005000000}">
          <x14:formula1>
            <xm:f>'Lookup Table'!$AT$2:$AT$4</xm:f>
          </x14:formula1>
          <xm:sqref>D22:E22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8"/>
    <pageSetUpPr fitToPage="1"/>
  </sheetPr>
  <dimension ref="A1:V258"/>
  <sheetViews>
    <sheetView tabSelected="1" view="pageBreakPreview" zoomScaleNormal="70" zoomScaleSheetLayoutView="100" zoomScalePageLayoutView="118" workbookViewId="0">
      <selection activeCell="M5" sqref="M5"/>
    </sheetView>
  </sheetViews>
  <sheetFormatPr defaultColWidth="9.33203125" defaultRowHeight="12.75" customHeight="1" x14ac:dyDescent="0.3"/>
  <cols>
    <col min="1" max="7" width="9.33203125" style="124"/>
    <col min="8" max="8" width="9.33203125" style="124" customWidth="1"/>
    <col min="9" max="9" width="9.33203125" style="124"/>
    <col min="10" max="10" width="10.44140625" style="124" customWidth="1"/>
    <col min="11" max="11" width="7.44140625" style="124" customWidth="1"/>
    <col min="12" max="16384" width="9.33203125" style="124"/>
  </cols>
  <sheetData>
    <row r="1" spans="1:21" ht="18" x14ac:dyDescent="0.3">
      <c r="A1" s="123"/>
      <c r="B1" s="123"/>
      <c r="C1" s="123"/>
      <c r="D1" s="331" t="s">
        <v>292</v>
      </c>
      <c r="E1" s="331"/>
      <c r="F1" s="331"/>
      <c r="G1" s="331"/>
      <c r="H1" s="331"/>
      <c r="I1" s="123"/>
      <c r="J1" s="123"/>
      <c r="K1" s="123"/>
      <c r="M1" s="124" t="s">
        <v>188</v>
      </c>
    </row>
    <row r="2" spans="1:21" ht="18" x14ac:dyDescent="0.3">
      <c r="A2" s="123"/>
      <c r="B2" s="123"/>
      <c r="C2" s="123"/>
      <c r="D2" s="295" t="str">
        <f>CONCATENATE('Event SetUp'!D8," ",'Event SetUp'!D9," ",TEXT('1'!$G$12,"yyyy"))</f>
        <v>Grand Prix 2 SIRC 2020</v>
      </c>
      <c r="E2" s="295"/>
      <c r="F2" s="295"/>
      <c r="G2" s="295"/>
      <c r="H2" s="295"/>
      <c r="I2" s="123"/>
      <c r="J2" s="123"/>
      <c r="K2" s="123"/>
      <c r="M2" s="124" t="str">
        <f>CONCATENATE('Event SetUp'!C23, "_", '1'!$D$17)</f>
        <v>Fletcher Cunningham_Grand Prix 2_20200215_MK1_Senior_1000_A Final</v>
      </c>
    </row>
    <row r="3" spans="1:21" ht="18" x14ac:dyDescent="0.3">
      <c r="A3" s="123"/>
      <c r="B3" s="123"/>
      <c r="C3" s="123"/>
      <c r="D3" s="296" t="str">
        <f>'Event SetUp'!D2&amp;" - "&amp;'Event SetUp'!$G$15&amp;" "&amp;'1'!$D$17&amp;" "&amp;"("&amp;'Event SetUp'!D13&amp;")"</f>
        <v>Fletcher Cunningham - K1 1000 A Final (Senior)</v>
      </c>
      <c r="E3" s="296"/>
      <c r="F3" s="296"/>
      <c r="G3" s="296"/>
      <c r="H3" s="296"/>
      <c r="I3" s="123"/>
      <c r="J3" s="123"/>
      <c r="K3" s="123"/>
    </row>
    <row r="4" spans="1:21" ht="6" customHeight="1" x14ac:dyDescent="0.3">
      <c r="A4" s="126"/>
      <c r="B4" s="126"/>
      <c r="C4" s="126"/>
      <c r="D4" s="121"/>
      <c r="E4" s="121"/>
      <c r="F4" s="121"/>
      <c r="G4" s="121"/>
      <c r="H4" s="121"/>
      <c r="I4" s="126"/>
      <c r="J4" s="126"/>
      <c r="K4" s="126"/>
      <c r="O4" s="124">
        <f>IF(B65=200, (B65/4), 250)</f>
        <v>250</v>
      </c>
      <c r="P4" s="125"/>
      <c r="Q4" s="125"/>
      <c r="R4" s="125"/>
      <c r="S4" s="125"/>
      <c r="T4" s="125"/>
      <c r="U4" s="125"/>
    </row>
    <row r="5" spans="1:21" ht="14.4" x14ac:dyDescent="0.3">
      <c r="A5" s="301" t="str">
        <f>IF('Event SetUp'!D3="", "Seat 1: ","Seat 1: "&amp;'Event SetUp'!D3)</f>
        <v>Seat 1: Fletcher Cunningham</v>
      </c>
      <c r="B5" s="302"/>
      <c r="C5" s="299" t="str">
        <f>IF('Event SetUp'!D4="", "Seat 2: ","Seat 2: "&amp;'Event SetUp'!D4)</f>
        <v xml:space="preserve">Seat 2: </v>
      </c>
      <c r="D5" s="300"/>
      <c r="E5" s="301" t="str">
        <f>IF('Event SetUp'!D5="", "Seat 3: ","Seat 3: "&amp;'Event SetUp'!D5)</f>
        <v xml:space="preserve">Seat 3: </v>
      </c>
      <c r="F5" s="302"/>
      <c r="G5" s="299" t="str">
        <f>IF('Event SetUp'!D6="", "Seat 4: ","Seat 4: "&amp;'Event SetUp'!D6)</f>
        <v xml:space="preserve">Seat 4: </v>
      </c>
      <c r="H5" s="300"/>
      <c r="I5" s="193" t="s">
        <v>134</v>
      </c>
      <c r="J5" s="236">
        <f>'1'!$D$18</f>
        <v>2</v>
      </c>
      <c r="M5" s="127"/>
      <c r="O5" s="125"/>
      <c r="P5" s="125"/>
      <c r="Q5" s="125"/>
      <c r="R5" s="125"/>
      <c r="S5" s="125"/>
      <c r="T5" s="125"/>
      <c r="U5" s="125"/>
    </row>
    <row r="6" spans="1:21" ht="6" customHeight="1" x14ac:dyDescent="0.3">
      <c r="B6" s="197"/>
      <c r="C6"/>
      <c r="D6" s="194"/>
      <c r="F6" s="194"/>
      <c r="H6" s="297"/>
      <c r="I6" s="298"/>
      <c r="J6" s="194"/>
      <c r="L6"/>
      <c r="M6"/>
      <c r="N6"/>
      <c r="O6"/>
      <c r="P6"/>
      <c r="Q6" s="125"/>
      <c r="R6" s="125"/>
      <c r="S6" s="125"/>
      <c r="T6" s="125"/>
      <c r="U6" s="125"/>
    </row>
    <row r="7" spans="1:21" ht="14.4" x14ac:dyDescent="0.3">
      <c r="A7" s="195" t="s">
        <v>265</v>
      </c>
      <c r="B7" s="196">
        <f>Enviromentals!D6</f>
        <v>24.1</v>
      </c>
      <c r="C7" s="195" t="s">
        <v>266</v>
      </c>
      <c r="D7" s="196">
        <f>Enviromentals!H6</f>
        <v>72</v>
      </c>
      <c r="E7" s="195" t="s">
        <v>262</v>
      </c>
      <c r="F7" s="196">
        <f>Enviromentals!D9</f>
        <v>0</v>
      </c>
      <c r="G7" s="195" t="s">
        <v>263</v>
      </c>
      <c r="H7" s="186" t="str">
        <f>Enviromentals!H9</f>
        <v>Calm</v>
      </c>
      <c r="I7" s="195" t="s">
        <v>264</v>
      </c>
      <c r="J7" s="304" t="str">
        <f>Enviromentals!D13&amp;" - "&amp;Enviromentals!H13</f>
        <v xml:space="preserve"> - Fresh</v>
      </c>
      <c r="K7" s="305"/>
      <c r="O7" s="125"/>
      <c r="P7" s="125"/>
      <c r="Q7" s="125"/>
      <c r="R7" s="125"/>
      <c r="S7" s="125"/>
      <c r="T7" s="125"/>
      <c r="U7" s="125"/>
    </row>
    <row r="8" spans="1:21" ht="6" customHeight="1" x14ac:dyDescent="0.3">
      <c r="A8" s="126"/>
      <c r="D8" s="188"/>
      <c r="H8" s="194"/>
      <c r="I8"/>
      <c r="J8" s="192"/>
      <c r="O8" s="125"/>
      <c r="P8" s="125"/>
      <c r="Q8" s="125"/>
      <c r="R8" s="125"/>
      <c r="S8" s="125"/>
      <c r="T8" s="125"/>
      <c r="U8" s="125"/>
    </row>
    <row r="9" spans="1:21" ht="11.25" customHeight="1" x14ac:dyDescent="0.3">
      <c r="B9" s="327" t="s">
        <v>135</v>
      </c>
      <c r="C9" s="328"/>
      <c r="D9" s="309" t="str">
        <f>'1'!$D$19</f>
        <v>9th</v>
      </c>
      <c r="E9" s="310"/>
      <c r="G9" s="317" t="s">
        <v>136</v>
      </c>
      <c r="H9" s="318"/>
      <c r="I9" s="313">
        <f>IF('1'!$D$23=" ",0,'1'!$D$23)</f>
        <v>2.6570601851851855E-3</v>
      </c>
      <c r="J9" s="314"/>
      <c r="K9" s="128"/>
      <c r="L9" s="128"/>
      <c r="O9" s="125"/>
      <c r="P9" s="125"/>
      <c r="Q9" s="125"/>
      <c r="R9" s="125"/>
      <c r="S9" s="125"/>
      <c r="T9" s="125"/>
      <c r="U9" s="125"/>
    </row>
    <row r="10" spans="1:21" ht="11.25" customHeight="1" x14ac:dyDescent="0.3">
      <c r="B10" s="329"/>
      <c r="C10" s="330"/>
      <c r="D10" s="311"/>
      <c r="E10" s="312"/>
      <c r="G10" s="319"/>
      <c r="H10" s="320"/>
      <c r="I10" s="315"/>
      <c r="J10" s="316"/>
      <c r="K10" s="129"/>
      <c r="L10" s="128"/>
      <c r="P10" s="125"/>
      <c r="Q10" s="125"/>
      <c r="R10" s="125"/>
      <c r="S10" s="125"/>
      <c r="T10" s="125"/>
      <c r="U10" s="125"/>
    </row>
    <row r="11" spans="1:21" ht="6" customHeight="1" x14ac:dyDescent="0.3">
      <c r="B11" s="126"/>
      <c r="I11" s="126"/>
      <c r="J11" s="128"/>
      <c r="K11" s="128"/>
      <c r="L11" s="128"/>
      <c r="P11" s="125"/>
      <c r="Q11" s="125"/>
      <c r="R11" s="125"/>
      <c r="S11" s="125"/>
      <c r="T11" s="125"/>
      <c r="U11" s="125"/>
    </row>
    <row r="12" spans="1:21" ht="15" customHeight="1" x14ac:dyDescent="0.3">
      <c r="B12" s="243" t="s">
        <v>137</v>
      </c>
      <c r="C12" s="242">
        <f>IF('1'!$D$24=" ",0,'1'!$D$24)</f>
        <v>2.4348379629629629E-3</v>
      </c>
      <c r="D12" s="244" t="s">
        <v>138</v>
      </c>
      <c r="E12" s="245">
        <f>($I$9/$C$12)</f>
        <v>1.0912677663164903</v>
      </c>
      <c r="F12" s="126"/>
      <c r="G12" s="246" t="s">
        <v>261</v>
      </c>
      <c r="H12" s="247">
        <f>IF('Event SetUp'!$H$14=" ",0,'Event SetUp'!$H$14)</f>
        <v>2.3981799768518519E-3</v>
      </c>
      <c r="I12" s="248" t="s">
        <v>260</v>
      </c>
      <c r="J12" s="249">
        <f>($I$9/$H$12)</f>
        <v>1.1079486155468499</v>
      </c>
      <c r="L12" s="128"/>
    </row>
    <row r="13" spans="1:21" ht="6" customHeight="1" x14ac:dyDescent="0.3">
      <c r="B13"/>
      <c r="C13"/>
      <c r="D13"/>
      <c r="E13"/>
      <c r="F13"/>
      <c r="G13"/>
      <c r="H13"/>
      <c r="I13"/>
      <c r="J13"/>
      <c r="T13" s="198">
        <f>'1'!O36</f>
        <v>2.6607638888888892E-3</v>
      </c>
    </row>
    <row r="14" spans="1:21" ht="14.4" x14ac:dyDescent="0.3">
      <c r="A14" s="303" t="s">
        <v>287</v>
      </c>
      <c r="B14" s="303"/>
      <c r="C14" s="303"/>
      <c r="D14" s="303"/>
      <c r="E14" s="303"/>
      <c r="F14" s="303"/>
      <c r="G14" s="303"/>
      <c r="H14" s="303"/>
      <c r="I14" s="303"/>
      <c r="J14" s="303"/>
      <c r="K14" s="303"/>
      <c r="M14" s="124" t="s">
        <v>180</v>
      </c>
      <c r="P14" s="124" t="s">
        <v>240</v>
      </c>
      <c r="R14" s="124" t="s">
        <v>238</v>
      </c>
      <c r="T14" s="124" t="s">
        <v>241</v>
      </c>
    </row>
    <row r="15" spans="1:21" ht="13.8" x14ac:dyDescent="0.3">
      <c r="A15" s="128"/>
      <c r="B15" s="128"/>
      <c r="C15" s="128"/>
      <c r="D15" s="128"/>
      <c r="E15" s="128"/>
      <c r="F15" s="128"/>
      <c r="G15" s="128"/>
      <c r="H15" s="128"/>
      <c r="I15" s="128"/>
      <c r="J15" s="128"/>
      <c r="K15" s="128"/>
      <c r="M15" s="130" t="s">
        <v>174</v>
      </c>
      <c r="N15" s="124">
        <f>B45</f>
        <v>0</v>
      </c>
      <c r="P15" s="131">
        <f>'Event SetUp'!$I$14</f>
        <v>4.8261907720819339</v>
      </c>
      <c r="Q15" s="124">
        <f>P15*3.6</f>
        <v>17.374286779494962</v>
      </c>
      <c r="R15" s="131">
        <f>N16/(C12*86400)</f>
        <v>4.7535294956505201</v>
      </c>
      <c r="S15" s="124">
        <f>R15*3.6</f>
        <v>17.112706184341874</v>
      </c>
      <c r="T15" s="131">
        <f>N16/(T13*86400)</f>
        <v>4.3499064770107436</v>
      </c>
      <c r="U15" s="124">
        <f>T15*3.6</f>
        <v>15.659663317238678</v>
      </c>
    </row>
    <row r="16" spans="1:21" ht="12.75" customHeight="1" x14ac:dyDescent="0.3">
      <c r="A16" s="128"/>
      <c r="B16" s="128"/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30" t="s">
        <v>175</v>
      </c>
      <c r="N16" s="124">
        <f>B65</f>
        <v>1000</v>
      </c>
      <c r="P16" s="131">
        <f>'Event SetUp'!$I$14</f>
        <v>4.8261907720819339</v>
      </c>
      <c r="Q16" s="124">
        <f>P16*3.6</f>
        <v>17.374286779494962</v>
      </c>
      <c r="R16" s="131">
        <f>$R$15</f>
        <v>4.7535294956505201</v>
      </c>
      <c r="S16" s="124">
        <f>R16*3.6</f>
        <v>17.112706184341874</v>
      </c>
      <c r="T16" s="131">
        <f>$T$15</f>
        <v>4.3499064770107436</v>
      </c>
      <c r="U16" s="124">
        <f>T16*3.6</f>
        <v>15.659663317238678</v>
      </c>
    </row>
    <row r="17" spans="1:22" ht="12.75" customHeight="1" x14ac:dyDescent="0.3">
      <c r="A17" s="128"/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4" t="s">
        <v>181</v>
      </c>
      <c r="N17" s="124">
        <f>IF(N16&gt;200,N16/10,N16/8)</f>
        <v>100</v>
      </c>
    </row>
    <row r="18" spans="1:22" ht="12.75" customHeight="1" x14ac:dyDescent="0.3">
      <c r="A18" s="128"/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4" t="s">
        <v>182</v>
      </c>
      <c r="N18" s="124">
        <f>IF(N16&gt;200, N17/2, 10)</f>
        <v>50</v>
      </c>
      <c r="P18" s="124" t="s">
        <v>280</v>
      </c>
    </row>
    <row r="19" spans="1:22" ht="12.75" customHeight="1" x14ac:dyDescent="0.3">
      <c r="A19" s="128"/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30" t="s">
        <v>176</v>
      </c>
      <c r="N19" s="131">
        <f>O31</f>
        <v>13</v>
      </c>
      <c r="P19" s="132">
        <f>G75</f>
        <v>5.9247685185185184E-4</v>
      </c>
      <c r="Q19" s="131">
        <f>(P19*86400)-($P$23*86400)</f>
        <v>-6.2800000000000011</v>
      </c>
      <c r="R19" s="131"/>
    </row>
    <row r="20" spans="1:22" ht="12.75" customHeight="1" x14ac:dyDescent="0.3">
      <c r="A20" s="128"/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30" t="s">
        <v>177</v>
      </c>
      <c r="N20" s="131">
        <f>IF(O32&gt;S15,O32,S15+(S15*0.02))</f>
        <v>20</v>
      </c>
      <c r="P20" s="132">
        <f>G76</f>
        <v>6.8020833333333323E-4</v>
      </c>
      <c r="Q20" s="131">
        <f t="shared" ref="Q20:Q22" si="0">(P20*86400)-($P$23*86400)</f>
        <v>1.2999999999999901</v>
      </c>
    </row>
    <row r="21" spans="1:22" ht="12.75" customHeight="1" x14ac:dyDescent="0.3">
      <c r="A21" s="128"/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4" t="s">
        <v>183</v>
      </c>
      <c r="N21" s="124">
        <v>1</v>
      </c>
      <c r="P21" s="132">
        <f>G77</f>
        <v>6.8738425925925933E-4</v>
      </c>
      <c r="Q21" s="131">
        <f t="shared" si="0"/>
        <v>1.9200000000000088</v>
      </c>
    </row>
    <row r="22" spans="1:22" ht="12.75" customHeight="1" x14ac:dyDescent="0.3">
      <c r="A22" s="128"/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4" t="s">
        <v>184</v>
      </c>
      <c r="N22" s="124">
        <v>0.5</v>
      </c>
      <c r="P22" s="132">
        <f>G78</f>
        <v>7.0057870370370369E-4</v>
      </c>
      <c r="Q22" s="131">
        <f t="shared" si="0"/>
        <v>3.0600000000000023</v>
      </c>
    </row>
    <row r="23" spans="1:22" ht="12.75" customHeight="1" x14ac:dyDescent="0.3">
      <c r="A23" s="128"/>
      <c r="B23" s="128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30" t="s">
        <v>178</v>
      </c>
      <c r="N23" s="133">
        <f>'Event SetUp'!$I$12</f>
        <v>80</v>
      </c>
      <c r="P23" s="132">
        <f>G79</f>
        <v>6.6516203703703702E-4</v>
      </c>
    </row>
    <row r="24" spans="1:22" ht="12.75" customHeight="1" x14ac:dyDescent="0.3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30" t="s">
        <v>179</v>
      </c>
      <c r="N24" s="133">
        <f>'Event SetUp'!$J$12</f>
        <v>140</v>
      </c>
    </row>
    <row r="25" spans="1:22" ht="12.75" customHeight="1" x14ac:dyDescent="0.3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4" t="s">
        <v>185</v>
      </c>
      <c r="N25" s="124">
        <v>5</v>
      </c>
    </row>
    <row r="26" spans="1:22" ht="12.75" customHeight="1" x14ac:dyDescent="0.3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4" t="s">
        <v>186</v>
      </c>
      <c r="N26" s="124">
        <v>1</v>
      </c>
    </row>
    <row r="27" spans="1:22" ht="12.75" customHeight="1" x14ac:dyDescent="0.3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V27" s="125"/>
    </row>
    <row r="28" spans="1:22" ht="12.75" customHeight="1" x14ac:dyDescent="0.3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U28" s="134"/>
      <c r="V28" s="125"/>
    </row>
    <row r="29" spans="1:22" ht="12.75" customHeight="1" x14ac:dyDescent="0.3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U29" s="134"/>
      <c r="V29" s="125"/>
    </row>
    <row r="30" spans="1:22" ht="12.75" customHeight="1" x14ac:dyDescent="0.3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35" t="s">
        <v>281</v>
      </c>
      <c r="N30" s="135"/>
      <c r="O30" s="136" t="s">
        <v>282</v>
      </c>
      <c r="P30" s="134"/>
      <c r="Q30" s="134"/>
      <c r="R30" s="134"/>
      <c r="U30" s="134"/>
    </row>
    <row r="31" spans="1:22" ht="12.75" customHeight="1" x14ac:dyDescent="0.3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37" t="s">
        <v>283</v>
      </c>
      <c r="N31" s="138">
        <f t="array" ref="N31">MIN(IF(F46:F65&lt;&gt;0,F46:F65))</f>
        <v>13.953488372093023</v>
      </c>
      <c r="O31" s="138">
        <f>ROUND(N31-(N31*0.04),0)</f>
        <v>13</v>
      </c>
      <c r="P31" s="138"/>
      <c r="Q31" s="139" t="str">
        <f t="array" ref="Q31">setChartAxis("Rpt-1","Chart 1","Min","Value","Primary",O31)</f>
        <v>Value Primary Min: 13</v>
      </c>
      <c r="R31" s="134"/>
    </row>
    <row r="32" spans="1:22" ht="12.75" customHeight="1" x14ac:dyDescent="0.3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37" t="s">
        <v>284</v>
      </c>
      <c r="N32" s="138">
        <f t="array" ref="N32">MAX(IF(F46:F65&lt;&gt;0,F46:F65))</f>
        <v>19.189765458422176</v>
      </c>
      <c r="O32" s="138">
        <f>ROUND(N32+(N32*0.05),0)</f>
        <v>20</v>
      </c>
      <c r="P32" s="138"/>
      <c r="Q32" s="139" t="str">
        <f t="array" ref="Q32">setChartAxis("Rpt-1","Chart 1","Max","Value","Primary",O32)</f>
        <v>Value Primary Max: 20</v>
      </c>
      <c r="R32" s="134"/>
    </row>
    <row r="33" spans="1:22" ht="12.75" customHeight="1" x14ac:dyDescent="0.3">
      <c r="A33" s="128"/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67"/>
      <c r="M33" s="137" t="s">
        <v>283</v>
      </c>
      <c r="N33" s="138"/>
      <c r="O33" s="138">
        <f>N15</f>
        <v>0</v>
      </c>
      <c r="P33" s="138"/>
      <c r="Q33" s="139" t="str">
        <f t="array" ref="Q33">setChartAxis("Rpt-1","Chart 1","Min","Category","Primary",O33)</f>
        <v>Category Primary Min: 0</v>
      </c>
      <c r="R33" s="134"/>
      <c r="S33"/>
      <c r="T33"/>
      <c r="U33"/>
      <c r="V33"/>
    </row>
    <row r="34" spans="1:22" ht="12.75" customHeight="1" x14ac:dyDescent="0.3">
      <c r="A34" s="128"/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37" t="s">
        <v>284</v>
      </c>
      <c r="N34" s="138"/>
      <c r="O34" s="138">
        <f>N16</f>
        <v>1000</v>
      </c>
      <c r="P34" s="138"/>
      <c r="Q34" s="139" t="str">
        <f t="array" ref="Q34">setChartAxis("Rpt-1","Chart 1","Max","Category","Primary",O34)</f>
        <v>Category Primary Max: 1000</v>
      </c>
      <c r="R34" s="134"/>
    </row>
    <row r="35" spans="1:22" ht="12.75" customHeight="1" x14ac:dyDescent="0.3">
      <c r="A35" s="128"/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37" t="s">
        <v>283</v>
      </c>
      <c r="N35" s="138">
        <f t="array" ref="N35">MIN(IF(H46:H65&lt;&gt;0,H46:H65))</f>
        <v>97.47</v>
      </c>
      <c r="O35" s="138">
        <f>ROUND(N35-(N35*0.04),0)</f>
        <v>94</v>
      </c>
      <c r="P35" s="138"/>
      <c r="Q35" s="139" t="str">
        <f t="array" ref="Q35">setChartAxis("Rpt-1","Chart 1","Min","Value","Secondary",O35)</f>
        <v>Value Secondary Min: 94</v>
      </c>
      <c r="R35" s="134"/>
    </row>
    <row r="36" spans="1:22" ht="12.75" customHeight="1" x14ac:dyDescent="0.3">
      <c r="A36" s="128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37" t="s">
        <v>284</v>
      </c>
      <c r="N36" s="138">
        <f t="array" ref="N36">MAX(IF(H46:H65&lt;&gt;0,H46:H65))</f>
        <v>142.47999999999999</v>
      </c>
      <c r="O36" s="138">
        <f>ROUND(N36+(N36*0.05),0)</f>
        <v>150</v>
      </c>
      <c r="P36" s="138"/>
      <c r="Q36" s="139" t="str">
        <f t="array" ref="Q36">setChartAxis("Rpt-1","Chart 1","Max","Value","Secondary",O36)</f>
        <v>Value Secondary Max: 150</v>
      </c>
      <c r="R36" s="134"/>
    </row>
    <row r="37" spans="1:22" ht="12.75" customHeight="1" x14ac:dyDescent="0.3">
      <c r="A37" s="128"/>
      <c r="B37" s="128"/>
      <c r="C37" s="128"/>
      <c r="D37" s="128"/>
      <c r="E37" s="128"/>
      <c r="F37" s="128"/>
      <c r="G37" s="128"/>
      <c r="H37" s="128"/>
      <c r="I37" s="128"/>
      <c r="J37" s="128"/>
      <c r="K37" s="128"/>
      <c r="L37" s="128"/>
    </row>
    <row r="38" spans="1:22" ht="12.75" customHeight="1" x14ac:dyDescent="0.3">
      <c r="A38" s="128"/>
      <c r="B38" s="128"/>
      <c r="C38" s="128"/>
      <c r="D38" s="128"/>
      <c r="E38" s="128"/>
      <c r="F38" s="128"/>
      <c r="G38" s="128"/>
      <c r="H38" s="128"/>
      <c r="I38" s="128"/>
      <c r="J38" s="128"/>
      <c r="K38" s="128"/>
      <c r="L38" s="128"/>
    </row>
    <row r="39" spans="1:22" ht="12.75" customHeight="1" x14ac:dyDescent="0.3">
      <c r="A39" s="128"/>
      <c r="B39" s="128"/>
      <c r="C39" s="128"/>
      <c r="D39" s="128"/>
      <c r="E39" s="128"/>
      <c r="F39" s="128"/>
      <c r="G39" s="128"/>
      <c r="H39" s="128"/>
      <c r="I39" s="128"/>
      <c r="J39" s="128"/>
      <c r="K39" s="128"/>
      <c r="L39" s="128"/>
      <c r="M39" s="137" t="s">
        <v>283</v>
      </c>
      <c r="N39" s="138">
        <f t="array" ref="N39">MIN(IF(F46:F65&lt;&gt;0,F46:F65))</f>
        <v>13.953488372093023</v>
      </c>
      <c r="O39" s="138">
        <f>ROUND(N39-(N39*0.04),0)</f>
        <v>13</v>
      </c>
      <c r="P39" s="138"/>
      <c r="Q39" s="139" t="str">
        <f t="array" ref="Q39">setChartAxis("Rpt-1","Chart 2","Min","Value","Primary",O39)</f>
        <v>Value Primary Min: 13</v>
      </c>
      <c r="R39" s="134"/>
    </row>
    <row r="40" spans="1:22" ht="12.75" customHeight="1" x14ac:dyDescent="0.3">
      <c r="A40" s="128"/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37" t="s">
        <v>284</v>
      </c>
      <c r="N40" s="138">
        <f t="array" ref="N40">MAX(IF(F46:F65&lt;&gt;0,F46:F65))</f>
        <v>19.189765458422176</v>
      </c>
      <c r="O40" s="138">
        <f>ROUND(N40+(N40*0.05),0)</f>
        <v>20</v>
      </c>
      <c r="P40" s="138"/>
      <c r="Q40" s="139" t="str">
        <f t="array" ref="Q40">setChartAxis("Rpt-1","Chart 2","Max","Value","Primary",O40)</f>
        <v>Value Primary Max: 20</v>
      </c>
      <c r="R40" s="134"/>
    </row>
    <row r="41" spans="1:22" ht="14.4" x14ac:dyDescent="0.3">
      <c r="A41" s="303" t="s">
        <v>288</v>
      </c>
      <c r="B41" s="303"/>
      <c r="C41" s="303"/>
      <c r="D41" s="303"/>
      <c r="E41" s="303"/>
      <c r="F41" s="303"/>
      <c r="G41" s="303"/>
      <c r="H41" s="303"/>
      <c r="I41" s="303"/>
      <c r="J41" s="303"/>
      <c r="K41" s="303"/>
      <c r="L41" s="128"/>
      <c r="M41" s="137" t="s">
        <v>283</v>
      </c>
      <c r="N41" s="138"/>
      <c r="O41" s="138">
        <f>N15</f>
        <v>0</v>
      </c>
      <c r="P41" s="138"/>
      <c r="Q41" s="139" t="str">
        <f t="array" ref="Q41">setChartAxis("Rpt-1","Chart 2","Min","Category","Primary",O41)</f>
        <v>Category Primary Min: 0</v>
      </c>
      <c r="R41" s="134"/>
    </row>
    <row r="42" spans="1:22" ht="6" customHeight="1" x14ac:dyDescent="0.3">
      <c r="M42" s="137" t="s">
        <v>284</v>
      </c>
      <c r="N42" s="138"/>
      <c r="O42" s="138">
        <f>N16</f>
        <v>1000</v>
      </c>
      <c r="P42" s="138"/>
      <c r="Q42" s="139" t="str">
        <f t="array" ref="Q42">setChartAxis("Rpt-1","Chart 2","Max","Category","Primary",O42)</f>
        <v>Category Primary Max: 1000</v>
      </c>
      <c r="R42" s="134"/>
    </row>
    <row r="43" spans="1:22" ht="12.75" customHeight="1" x14ac:dyDescent="0.3">
      <c r="B43" s="321" t="s">
        <v>139</v>
      </c>
      <c r="C43" s="323" t="s">
        <v>140</v>
      </c>
      <c r="D43" s="325" t="s">
        <v>141</v>
      </c>
      <c r="E43" s="214"/>
      <c r="F43" s="325" t="s">
        <v>143</v>
      </c>
      <c r="G43" s="325" t="str">
        <f>CONCATENATE(B65," ", "m ", " ", "Pace")</f>
        <v>1000 m  Pace</v>
      </c>
      <c r="H43" s="325" t="s">
        <v>142</v>
      </c>
      <c r="I43" s="325" t="str">
        <f>IF(B65=200," ","eWPS")</f>
        <v>eWPS</v>
      </c>
      <c r="J43" s="325" t="s">
        <v>154</v>
      </c>
    </row>
    <row r="44" spans="1:22" ht="12.75" customHeight="1" x14ac:dyDescent="0.3">
      <c r="B44" s="322"/>
      <c r="C44" s="324"/>
      <c r="D44" s="326"/>
      <c r="E44" s="215"/>
      <c r="F44" s="326"/>
      <c r="G44" s="326"/>
      <c r="H44" s="326"/>
      <c r="I44" s="326"/>
      <c r="J44" s="326"/>
    </row>
    <row r="45" spans="1:22" ht="12.75" customHeight="1" x14ac:dyDescent="0.3">
      <c r="B45" s="216">
        <v>0</v>
      </c>
      <c r="C45" s="217">
        <v>0</v>
      </c>
      <c r="D45" s="218">
        <v>0</v>
      </c>
      <c r="E45" s="218"/>
      <c r="F45" s="218">
        <v>0</v>
      </c>
      <c r="G45" s="218">
        <v>0</v>
      </c>
      <c r="H45" s="218">
        <v>0</v>
      </c>
      <c r="I45" s="218"/>
      <c r="J45" s="219"/>
      <c r="M45" s="137" t="s">
        <v>283</v>
      </c>
      <c r="N45" s="138">
        <f t="array" ref="N45">MIN(IF(H46:H65&lt;&gt;0,H46:H65))</f>
        <v>97.47</v>
      </c>
      <c r="O45" s="138">
        <f>ROUND(N45-(N45*0.04),0)</f>
        <v>94</v>
      </c>
      <c r="P45" s="138"/>
      <c r="Q45" s="139" t="str">
        <f t="array" ref="Q45">setChartAxis("Rpt-1","Chart 3","Min","Value","Primary",O45)</f>
        <v>Value Primary Min: 94</v>
      </c>
      <c r="R45" s="134"/>
    </row>
    <row r="46" spans="1:22" ht="12.75" customHeight="1" x14ac:dyDescent="0.3">
      <c r="B46" s="205">
        <f>'1'!J38</f>
        <v>50</v>
      </c>
      <c r="C46" s="49">
        <f>IF('1'!K38&gt;1, ('1'!K38/86400), '1'!K38)</f>
        <v>1.273148148148148E-4</v>
      </c>
      <c r="D46" s="50">
        <f>'1'!L38</f>
        <v>11</v>
      </c>
      <c r="E46" s="50"/>
      <c r="F46" s="51">
        <f>'1'!M38*3.6</f>
        <v>16.363636363636367</v>
      </c>
      <c r="G46" s="49">
        <f t="shared" ref="G46:G65" si="1">(D46*(B$65/$B$46)/86400)</f>
        <v>2.5462962962962965E-3</v>
      </c>
      <c r="H46" s="52">
        <f>'1'!N38</f>
        <v>142.47999999999999</v>
      </c>
      <c r="I46" s="51">
        <f>IF('1'!M38=200, " ",('1'!M38^3)/(H46/60))</f>
        <v>39.548434915509787</v>
      </c>
      <c r="J46" s="206">
        <f>'1'!M38/(H46/60)</f>
        <v>1.9141442499106733</v>
      </c>
      <c r="M46" s="137" t="s">
        <v>284</v>
      </c>
      <c r="N46" s="138">
        <f t="array" ref="N46">MAX(IF(H46:H65&lt;&gt;0,H46:H65))</f>
        <v>142.47999999999999</v>
      </c>
      <c r="O46" s="138">
        <f>ROUND(N46+(N46*0.05),0)</f>
        <v>150</v>
      </c>
      <c r="P46" s="138"/>
      <c r="Q46" s="139" t="str">
        <f t="array" ref="Q46">setChartAxis("Rpt-1","Chart 3","Max","Value","Primary",O46)</f>
        <v>Value Primary Max: 150</v>
      </c>
      <c r="R46" s="134"/>
    </row>
    <row r="47" spans="1:22" ht="12.75" customHeight="1" x14ac:dyDescent="0.3">
      <c r="B47" s="205">
        <f>'1'!J39</f>
        <v>100</v>
      </c>
      <c r="C47" s="49">
        <f>IF('1'!K39&gt;1, ('1'!K39/86400), '1'!K39)</f>
        <v>2.3599537037037038E-4</v>
      </c>
      <c r="D47" s="50">
        <f>'1'!L39</f>
        <v>9.379999999999999</v>
      </c>
      <c r="E47" s="50"/>
      <c r="F47" s="51">
        <f>'1'!M39*3.6</f>
        <v>19.189765458422176</v>
      </c>
      <c r="G47" s="49">
        <f t="shared" si="1"/>
        <v>2.1712962962962957E-3</v>
      </c>
      <c r="H47" s="52">
        <f>'1'!N39</f>
        <v>124.42</v>
      </c>
      <c r="I47" s="51">
        <f>IF('1'!M39=200, " ",('1'!M39^3)/(H47/60))</f>
        <v>73.040300492915605</v>
      </c>
      <c r="J47" s="206">
        <f>'1'!M39/(H47/60)</f>
        <v>2.5705628058755532</v>
      </c>
      <c r="M47" s="137" t="s">
        <v>283</v>
      </c>
      <c r="N47" s="138"/>
      <c r="O47" s="138">
        <f>N15</f>
        <v>0</v>
      </c>
      <c r="P47" s="138"/>
      <c r="Q47" s="139" t="str">
        <f t="array" ref="Q47">setChartAxis("Rpt-1","Chart 3","Min","Category","Primary",O47)</f>
        <v>Category Primary Min: 0</v>
      </c>
      <c r="R47" s="134"/>
    </row>
    <row r="48" spans="1:22" ht="12.75" customHeight="1" x14ac:dyDescent="0.3">
      <c r="B48" s="205">
        <f>'1'!J40</f>
        <v>150</v>
      </c>
      <c r="C48" s="49">
        <f>IF('1'!K40&gt;1, ('1'!K40/86400), '1'!K40)</f>
        <v>3.4930555555555556E-4</v>
      </c>
      <c r="D48" s="50">
        <f>'1'!L40</f>
        <v>9.7899999999999991</v>
      </c>
      <c r="E48" s="50"/>
      <c r="F48" s="51">
        <f>'1'!M40*3.6</f>
        <v>18.386108273748725</v>
      </c>
      <c r="G48" s="49">
        <f t="shared" si="1"/>
        <v>2.2662037037037034E-3</v>
      </c>
      <c r="H48" s="52">
        <f>'1'!N40</f>
        <v>116.88</v>
      </c>
      <c r="I48" s="51">
        <f>IF('1'!M40=200, " ",('1'!M40^3)/(H48/60))</f>
        <v>68.386910642271474</v>
      </c>
      <c r="J48" s="206">
        <f>'1'!M40/(H48/60)</f>
        <v>2.6217927609155725</v>
      </c>
      <c r="M48" s="137" t="s">
        <v>284</v>
      </c>
      <c r="N48" s="138"/>
      <c r="O48" s="138">
        <f>N16</f>
        <v>1000</v>
      </c>
      <c r="P48" s="138"/>
      <c r="Q48" s="139" t="str">
        <f t="array" ref="Q48">setChartAxis("Rpt-1","Chart 3","Max","Category","Primary",O48)</f>
        <v>Category Primary Max: 1000</v>
      </c>
      <c r="R48" s="134"/>
    </row>
    <row r="49" spans="2:20" ht="12.75" customHeight="1" x14ac:dyDescent="0.3">
      <c r="B49" s="205">
        <f>'1'!J41</f>
        <v>200</v>
      </c>
      <c r="C49" s="49">
        <f>IF('1'!K41&gt;1, ('1'!K41/86400), '1'!K41)</f>
        <v>4.679398148148148E-4</v>
      </c>
      <c r="D49" s="50">
        <f>'1'!L41</f>
        <v>10.239999999999998</v>
      </c>
      <c r="E49" s="50"/>
      <c r="F49" s="51">
        <f>'1'!M41*3.6</f>
        <v>17.578125000000004</v>
      </c>
      <c r="G49" s="49">
        <f t="shared" si="1"/>
        <v>2.3703703703703699E-3</v>
      </c>
      <c r="H49" s="52">
        <f>'1'!N41</f>
        <v>110.66</v>
      </c>
      <c r="I49" s="51">
        <f>IF('1'!M41=200, " ",('1'!M41^3)/(H49/60))</f>
        <v>63.120543191903955</v>
      </c>
      <c r="J49" s="206">
        <f>'1'!M41/(H49/60)</f>
        <v>2.6474674679197547</v>
      </c>
    </row>
    <row r="50" spans="2:20" ht="12.75" customHeight="1" x14ac:dyDescent="0.3">
      <c r="B50" s="207">
        <f>'1'!J42</f>
        <v>250</v>
      </c>
      <c r="C50" s="208">
        <f>IF('1'!K42&gt;1, ('1'!K42/86400), '1'!K42)</f>
        <v>5.9247685185185184E-4</v>
      </c>
      <c r="D50" s="209">
        <f>'1'!L42</f>
        <v>10.76</v>
      </c>
      <c r="E50" s="210">
        <f>SUM(D45:D50)/86400</f>
        <v>5.9224537037037026E-4</v>
      </c>
      <c r="F50" s="211">
        <f>'1'!M42*3.6</f>
        <v>16.728624535315987</v>
      </c>
      <c r="G50" s="208">
        <f t="shared" si="1"/>
        <v>2.4907407407407404E-3</v>
      </c>
      <c r="H50" s="212">
        <f>'1'!N42</f>
        <v>109.09</v>
      </c>
      <c r="I50" s="211">
        <f>IF('1'!M42=200, " ",('1'!M42^3)/(H50/60))</f>
        <v>55.187345824650464</v>
      </c>
      <c r="J50" s="213">
        <f>'1'!M42/(H50/60)</f>
        <v>2.55578337997922</v>
      </c>
    </row>
    <row r="51" spans="2:20" ht="12.75" customHeight="1" x14ac:dyDescent="0.3">
      <c r="B51" s="220">
        <f>'1'!J43</f>
        <v>300</v>
      </c>
      <c r="C51" s="221">
        <f>IF('1'!K43&gt;1, ('1'!K43/86400), '1'!K43)</f>
        <v>7.2372685185185181E-4</v>
      </c>
      <c r="D51" s="222">
        <f>'1'!L43</f>
        <v>11.34</v>
      </c>
      <c r="E51" s="222"/>
      <c r="F51" s="223">
        <f>'1'!M43*3.6</f>
        <v>15.873015873015875</v>
      </c>
      <c r="G51" s="221">
        <f t="shared" si="1"/>
        <v>2.6250000000000002E-3</v>
      </c>
      <c r="H51" s="224">
        <f>'1'!N43</f>
        <v>104.45</v>
      </c>
      <c r="I51" s="223">
        <f>IF('1'!M43=200, " ",('1'!M43^3)/(H51/60))</f>
        <v>49.239502397299439</v>
      </c>
      <c r="J51" s="225">
        <f>'1'!M43/(H51/60)</f>
        <v>2.5327933417928632</v>
      </c>
      <c r="M51" s="137" t="s">
        <v>283</v>
      </c>
      <c r="N51" s="138">
        <f t="array" ref="N51">MIN(IF(I46:I65&lt;&gt;0,I46:I65))</f>
        <v>35.844387727812382</v>
      </c>
      <c r="O51" s="138">
        <f>ROUND(N51-(N51*0.04),0)</f>
        <v>34</v>
      </c>
      <c r="P51" s="138"/>
      <c r="Q51" s="139" t="str">
        <f t="array" ref="Q51">setChartAxis("Rpt-1","Chart 4","Min","Value","Primary",O51)</f>
        <v>Value Primary Min: 34</v>
      </c>
      <c r="R51" s="134"/>
    </row>
    <row r="52" spans="2:20" ht="12.75" customHeight="1" x14ac:dyDescent="0.3">
      <c r="B52" s="205">
        <f>'1'!J44</f>
        <v>350</v>
      </c>
      <c r="C52" s="49">
        <f>IF('1'!K44&gt;1, ('1'!K44/86400), '1'!K44)</f>
        <v>8.564814814814815E-4</v>
      </c>
      <c r="D52" s="50">
        <f>'1'!L44</f>
        <v>11.469999999999999</v>
      </c>
      <c r="E52" s="50"/>
      <c r="F52" s="51">
        <f>'1'!M44*3.6</f>
        <v>15.693112467306017</v>
      </c>
      <c r="G52" s="49">
        <f t="shared" si="1"/>
        <v>2.6550925925925921E-3</v>
      </c>
      <c r="H52" s="52">
        <f>'1'!N44</f>
        <v>99.17</v>
      </c>
      <c r="I52" s="51">
        <f>IF('1'!M44=200, " ",('1'!M44^3)/(H52/60))</f>
        <v>50.117649720650398</v>
      </c>
      <c r="J52" s="206">
        <f>'1'!M44/(H52/60)</f>
        <v>2.637409241253406</v>
      </c>
      <c r="M52" s="137" t="s">
        <v>284</v>
      </c>
      <c r="N52" s="138">
        <f t="array" ref="N52">MAX(IF(I46:I65&lt;&gt;0,I46:I65))</f>
        <v>73.040300492915605</v>
      </c>
      <c r="O52" s="138">
        <f>ROUND(N52+(N52*0.04),0)</f>
        <v>76</v>
      </c>
      <c r="P52" s="138"/>
      <c r="Q52" s="139" t="str">
        <f t="array" ref="Q52">setChartAxis("Rpt-1","Chart 4","Max","Value","Primary",O52)</f>
        <v>Value Primary Max: 76</v>
      </c>
      <c r="R52" s="134"/>
    </row>
    <row r="53" spans="2:20" ht="12.75" customHeight="1" x14ac:dyDescent="0.3">
      <c r="B53" s="205">
        <f>'1'!J45</f>
        <v>400</v>
      </c>
      <c r="C53" s="49">
        <f>IF('1'!K45&gt;1, ('1'!K45/86400), '1'!K45)</f>
        <v>9.9409722222222217E-4</v>
      </c>
      <c r="D53" s="50">
        <f>'1'!L45</f>
        <v>11.88</v>
      </c>
      <c r="E53" s="50"/>
      <c r="F53" s="51">
        <f>'1'!M45*3.6</f>
        <v>15.15151515151515</v>
      </c>
      <c r="G53" s="49">
        <f t="shared" si="1"/>
        <v>2.7500000000000003E-3</v>
      </c>
      <c r="H53" s="52">
        <f>'1'!N45</f>
        <v>98.54</v>
      </c>
      <c r="I53" s="51">
        <f>IF('1'!M45=200, " ",('1'!M45^3)/(H53/60))</f>
        <v>45.394097227876131</v>
      </c>
      <c r="J53" s="206">
        <f>'1'!M45/(H53/60)</f>
        <v>2.5626674703191852</v>
      </c>
      <c r="M53" s="137" t="s">
        <v>283</v>
      </c>
      <c r="N53" s="138"/>
      <c r="O53" s="138">
        <f>N15</f>
        <v>0</v>
      </c>
      <c r="P53" s="138"/>
      <c r="Q53" s="139" t="str">
        <f t="array" ref="Q53">setChartAxis("Rpt-1","Chart 4","Min","Category","Primary",O53)</f>
        <v>Category Primary Min: 0</v>
      </c>
      <c r="R53" s="134"/>
    </row>
    <row r="54" spans="2:20" ht="12.75" customHeight="1" x14ac:dyDescent="0.3">
      <c r="B54" s="205">
        <f>'1'!J46</f>
        <v>450</v>
      </c>
      <c r="C54" s="49">
        <f>IF('1'!K46&gt;1, ('1'!K46/86400), '1'!K46)</f>
        <v>1.1337962962962964E-3</v>
      </c>
      <c r="D54" s="50">
        <f>'1'!L46</f>
        <v>12.07</v>
      </c>
      <c r="E54" s="50"/>
      <c r="F54" s="51">
        <f>'1'!M46*3.6</f>
        <v>14.913007456503729</v>
      </c>
      <c r="G54" s="49">
        <f t="shared" si="1"/>
        <v>2.7939814814814815E-3</v>
      </c>
      <c r="H54" s="52">
        <f>'1'!N46</f>
        <v>98.18</v>
      </c>
      <c r="I54" s="51">
        <f>IF('1'!M46=200, " ",('1'!M46^3)/(H54/60))</f>
        <v>43.442661603535093</v>
      </c>
      <c r="J54" s="206">
        <f>'1'!M46/(H54/60)</f>
        <v>2.5315759245779397</v>
      </c>
      <c r="M54" s="137" t="s">
        <v>284</v>
      </c>
      <c r="N54" s="138"/>
      <c r="O54" s="138">
        <f>N16</f>
        <v>1000</v>
      </c>
      <c r="P54" s="138"/>
      <c r="Q54" s="139" t="str">
        <f t="array" ref="Q54">setChartAxis("Rpt-1","Chart 4","Max","Category","Primary",O54)</f>
        <v>Category Primary Max: 1000</v>
      </c>
      <c r="R54" s="134"/>
    </row>
    <row r="55" spans="2:20" ht="12.75" customHeight="1" x14ac:dyDescent="0.3">
      <c r="B55" s="207">
        <f>'1'!J47</f>
        <v>500</v>
      </c>
      <c r="C55" s="208">
        <f>IF('1'!K47&gt;1, ('1'!K47/86400), '1'!K47)</f>
        <v>1.2726851851851851E-3</v>
      </c>
      <c r="D55" s="209">
        <f>'1'!L47</f>
        <v>12.01</v>
      </c>
      <c r="E55" s="210">
        <f>SUM(D51:D55)/86400</f>
        <v>6.8020833333333334E-4</v>
      </c>
      <c r="F55" s="211">
        <f>'1'!M47*3.6</f>
        <v>14.987510407993339</v>
      </c>
      <c r="G55" s="208">
        <f t="shared" si="1"/>
        <v>2.7800925925925923E-3</v>
      </c>
      <c r="H55" s="212">
        <f>'1'!N47</f>
        <v>99.08</v>
      </c>
      <c r="I55" s="211">
        <f>IF('1'!M47=200, " ",('1'!M47^3)/(H55/60))</f>
        <v>43.696458848789717</v>
      </c>
      <c r="J55" s="213">
        <f>'1'!M47/(H55/60)</f>
        <v>2.5211126375981259</v>
      </c>
    </row>
    <row r="56" spans="2:20" ht="12.75" customHeight="1" x14ac:dyDescent="0.3">
      <c r="B56" s="220">
        <f>'1'!J48</f>
        <v>550</v>
      </c>
      <c r="C56" s="221">
        <f>IF('1'!K48&gt;1, ('1'!K48/86400), '1'!K48)</f>
        <v>1.4113425925925925E-3</v>
      </c>
      <c r="D56" s="222">
        <f>'1'!L48</f>
        <v>11.98</v>
      </c>
      <c r="E56" s="222"/>
      <c r="F56" s="223">
        <f>'1'!M48*3.6</f>
        <v>15.025041736227045</v>
      </c>
      <c r="G56" s="221">
        <f t="shared" si="1"/>
        <v>2.7731481481481483E-3</v>
      </c>
      <c r="H56" s="224">
        <f>'1'!N48</f>
        <v>98.36</v>
      </c>
      <c r="I56" s="223">
        <f>IF('1'!M48=200, " ",('1'!M48^3)/(H56/60))</f>
        <v>44.347821330540242</v>
      </c>
      <c r="J56" s="225">
        <f>'1'!M48/(H56/60)</f>
        <v>2.5459268225950669</v>
      </c>
      <c r="M56" s="137" t="s">
        <v>283</v>
      </c>
      <c r="N56" s="138"/>
      <c r="O56" s="138">
        <f>N15</f>
        <v>0</v>
      </c>
      <c r="P56" s="138"/>
      <c r="Q56" s="139" t="str">
        <f>setChartAxis("Rpt-1","Chart 5","Min","Category","Primary",O56)</f>
        <v>Category Primary Min: 0</v>
      </c>
    </row>
    <row r="57" spans="2:20" ht="12.75" customHeight="1" x14ac:dyDescent="0.3">
      <c r="B57" s="205">
        <f>'1'!J49</f>
        <v>600</v>
      </c>
      <c r="C57" s="49">
        <f>IF('1'!K49&gt;1, ('1'!K49/86400), '1'!K49)</f>
        <v>1.5505787037037035E-3</v>
      </c>
      <c r="D57" s="50">
        <f>'1'!L49</f>
        <v>12.030000000000001</v>
      </c>
      <c r="E57" s="50"/>
      <c r="F57" s="51">
        <f>'1'!M49*3.6</f>
        <v>14.962593516209473</v>
      </c>
      <c r="G57" s="49">
        <f t="shared" si="1"/>
        <v>2.7847222222222223E-3</v>
      </c>
      <c r="H57" s="52">
        <f>'1'!N49</f>
        <v>99.82</v>
      </c>
      <c r="I57" s="51">
        <f>IF('1'!M49=200, " ",('1'!M49^3)/(H57/60))</f>
        <v>43.156559599548856</v>
      </c>
      <c r="J57" s="206">
        <f>'1'!M49/(H57/60)</f>
        <v>2.4982624584601405</v>
      </c>
      <c r="M57" s="137" t="s">
        <v>284</v>
      </c>
      <c r="N57" s="138"/>
      <c r="O57" s="138">
        <f>N16</f>
        <v>1000</v>
      </c>
      <c r="P57" s="138"/>
      <c r="Q57" s="139" t="str">
        <f>setChartAxis("Rpt-1","Chart 5","Max","Category","Primary",O57)</f>
        <v>Category Primary Max: 1000</v>
      </c>
    </row>
    <row r="58" spans="2:20" ht="12.75" customHeight="1" x14ac:dyDescent="0.3">
      <c r="B58" s="205">
        <f>'1'!J50</f>
        <v>650</v>
      </c>
      <c r="C58" s="49">
        <f>IF('1'!K50&gt;1, ('1'!K50/86400), '1'!K50)</f>
        <v>1.6812500000000002E-3</v>
      </c>
      <c r="D58" s="50">
        <f>'1'!L50</f>
        <v>11.3</v>
      </c>
      <c r="E58" s="50"/>
      <c r="F58" s="51">
        <f>'1'!M50*3.6</f>
        <v>15.929203539823009</v>
      </c>
      <c r="G58" s="49">
        <f t="shared" si="1"/>
        <v>2.6157407407407405E-3</v>
      </c>
      <c r="H58" s="52">
        <f>'1'!N50</f>
        <v>101.12</v>
      </c>
      <c r="I58" s="51">
        <f>IF('1'!M50=200, " ",('1'!M50^3)/(H58/60))</f>
        <v>51.403048032859132</v>
      </c>
      <c r="J58" s="206">
        <f>'1'!M50/(H58/60)</f>
        <v>2.6254620813263134</v>
      </c>
    </row>
    <row r="59" spans="2:20" ht="12.75" customHeight="1" x14ac:dyDescent="0.3">
      <c r="B59" s="205">
        <f>'1'!J51</f>
        <v>700</v>
      </c>
      <c r="C59" s="49">
        <f>IF('1'!K51&gt;1, ('1'!K51/86400), '1'!K51)</f>
        <v>1.8175925925925927E-3</v>
      </c>
      <c r="D59" s="50">
        <f>'1'!L51</f>
        <v>11.77</v>
      </c>
      <c r="E59" s="50"/>
      <c r="F59" s="51">
        <f>'1'!M51*3.6</f>
        <v>15.293118096856414</v>
      </c>
      <c r="G59" s="49">
        <f t="shared" si="1"/>
        <v>2.7245370370370366E-3</v>
      </c>
      <c r="H59" s="52">
        <f>'1'!N51</f>
        <v>99.63</v>
      </c>
      <c r="I59" s="51">
        <f>IF('1'!M51=200, " ",('1'!M51^3)/(H59/60))</f>
        <v>46.168072632688279</v>
      </c>
      <c r="J59" s="206">
        <f>'1'!M51/(H59/60)</f>
        <v>2.5583187956867772</v>
      </c>
      <c r="M59" s="137"/>
      <c r="N59" s="138"/>
      <c r="O59" s="138"/>
      <c r="P59" s="138"/>
      <c r="Q59" s="139"/>
    </row>
    <row r="60" spans="2:20" ht="12.75" customHeight="1" x14ac:dyDescent="0.3">
      <c r="B60" s="207">
        <f>'1'!J52</f>
        <v>750</v>
      </c>
      <c r="C60" s="208">
        <f>IF('1'!K52&gt;1, ('1'!K52/86400), '1'!K52)</f>
        <v>1.9600694444444444E-3</v>
      </c>
      <c r="D60" s="209">
        <f>'1'!L52</f>
        <v>12.309999999999999</v>
      </c>
      <c r="E60" s="210">
        <f>SUM(D56:D60)/86400</f>
        <v>6.8738425925925922E-4</v>
      </c>
      <c r="F60" s="211">
        <f>'1'!M52*3.6</f>
        <v>14.622258326563772</v>
      </c>
      <c r="G60" s="208">
        <f t="shared" si="1"/>
        <v>2.8495370370370367E-3</v>
      </c>
      <c r="H60" s="212">
        <f>'1'!N52</f>
        <v>103.05</v>
      </c>
      <c r="I60" s="211">
        <f>IF('1'!M52=200, " ",('1'!M52^3)/(H60/60))</f>
        <v>39.015673522236831</v>
      </c>
      <c r="J60" s="213">
        <f>'1'!M52/(H60/60)</f>
        <v>2.3649132017732124</v>
      </c>
      <c r="M60" s="137"/>
      <c r="N60" s="138"/>
      <c r="O60" s="138"/>
      <c r="P60" s="138"/>
      <c r="Q60" s="139"/>
      <c r="T60" s="134"/>
    </row>
    <row r="61" spans="2:20" ht="12.75" customHeight="1" x14ac:dyDescent="0.3">
      <c r="B61" s="220">
        <f>'1'!J53</f>
        <v>800</v>
      </c>
      <c r="C61" s="221">
        <f>IF('1'!K53&gt;1, ('1'!K53/86400), '1'!K53)</f>
        <v>2.0921296296296295E-3</v>
      </c>
      <c r="D61" s="222">
        <f>'1'!L53</f>
        <v>11.41</v>
      </c>
      <c r="E61" s="222"/>
      <c r="F61" s="223">
        <f>'1'!M53*3.6</f>
        <v>15.77563540753725</v>
      </c>
      <c r="G61" s="221">
        <f t="shared" si="1"/>
        <v>2.6412037037037038E-3</v>
      </c>
      <c r="H61" s="224">
        <f>'1'!N53</f>
        <v>101.69</v>
      </c>
      <c r="I61" s="223">
        <f>IF('1'!M53=200, " ",('1'!M53^3)/(H61/60))</f>
        <v>49.650780831351206</v>
      </c>
      <c r="J61" s="225">
        <f>'1'!M53/(H61/60)</f>
        <v>2.585576327980013</v>
      </c>
      <c r="M61" s="137" t="s">
        <v>283</v>
      </c>
      <c r="N61" s="138"/>
      <c r="O61" s="138">
        <f>N15</f>
        <v>0</v>
      </c>
      <c r="P61" s="138"/>
      <c r="Q61" s="139" t="str">
        <f>setChartAxis("Rpt-1","Chart 6","Min","Category","Primary",O61)</f>
        <v>Category Primary Min: 0</v>
      </c>
      <c r="T61" s="134"/>
    </row>
    <row r="62" spans="2:20" ht="12.75" customHeight="1" x14ac:dyDescent="0.3">
      <c r="B62" s="205">
        <f>'1'!J54</f>
        <v>850</v>
      </c>
      <c r="C62" s="49">
        <f>IF('1'!K54&gt;1, ('1'!K54/86400), '1'!K54)</f>
        <v>2.2229166666666669E-3</v>
      </c>
      <c r="D62" s="50">
        <f>'1'!L54</f>
        <v>11.3</v>
      </c>
      <c r="E62" s="50"/>
      <c r="F62" s="51">
        <f>'1'!M54*3.6</f>
        <v>15.929203539823009</v>
      </c>
      <c r="G62" s="49">
        <f t="shared" si="1"/>
        <v>2.6157407407407405E-3</v>
      </c>
      <c r="H62" s="52">
        <f>'1'!N54</f>
        <v>101.31</v>
      </c>
      <c r="I62" s="51">
        <f>IF('1'!M54=200, " ",('1'!M54^3)/(H62/60))</f>
        <v>51.306645119758322</v>
      </c>
      <c r="J62" s="206">
        <f>'1'!M54/(H62/60)</f>
        <v>2.6205382061367759</v>
      </c>
      <c r="M62" s="137" t="s">
        <v>284</v>
      </c>
      <c r="N62" s="138"/>
      <c r="O62" s="138">
        <f>N16</f>
        <v>1000</v>
      </c>
      <c r="P62" s="138"/>
      <c r="Q62" s="139" t="str">
        <f>setChartAxis("Rpt-1","Chart 6","Max","Category","Primary",O62)</f>
        <v>Category Primary Max: 1000</v>
      </c>
      <c r="T62" s="134"/>
    </row>
    <row r="63" spans="2:20" ht="12.75" customHeight="1" x14ac:dyDescent="0.3">
      <c r="B63" s="205">
        <f>'1'!J55</f>
        <v>900</v>
      </c>
      <c r="C63" s="49">
        <f>IF('1'!K55&gt;1, ('1'!K55/86400), '1'!K55)</f>
        <v>2.3674768518518519E-3</v>
      </c>
      <c r="D63" s="50">
        <f>'1'!L55</f>
        <v>12.5</v>
      </c>
      <c r="E63" s="50"/>
      <c r="F63" s="51">
        <f>'1'!M55*3.6</f>
        <v>14.4</v>
      </c>
      <c r="G63" s="49">
        <f t="shared" si="1"/>
        <v>2.8935185185185184E-3</v>
      </c>
      <c r="H63" s="52">
        <f>'1'!N55</f>
        <v>100.67</v>
      </c>
      <c r="I63" s="51">
        <f>IF('1'!M55=200, " ",('1'!M55^3)/(H63/60))</f>
        <v>38.144432303566106</v>
      </c>
      <c r="J63" s="206">
        <f>'1'!M55/(H63/60)</f>
        <v>2.3840270189728816</v>
      </c>
      <c r="T63" s="134"/>
    </row>
    <row r="64" spans="2:20" ht="12.75" customHeight="1" x14ac:dyDescent="0.3">
      <c r="B64" s="205">
        <f>'1'!J56</f>
        <v>950</v>
      </c>
      <c r="C64" s="49">
        <f>IF('1'!K56&gt;1, ('1'!K56/86400), '1'!K56)</f>
        <v>2.5113425925925924E-3</v>
      </c>
      <c r="D64" s="50">
        <f>'1'!L56</f>
        <v>12.42</v>
      </c>
      <c r="E64" s="50"/>
      <c r="F64" s="51">
        <f>'1'!M56*3.6</f>
        <v>14.492753623188406</v>
      </c>
      <c r="G64" s="49">
        <f t="shared" si="1"/>
        <v>2.875E-3</v>
      </c>
      <c r="H64" s="52">
        <f>'1'!N56</f>
        <v>100.19</v>
      </c>
      <c r="I64" s="51">
        <f>IF('1'!M56=200, " ",('1'!M56^3)/(H64/60))</f>
        <v>39.072580918651362</v>
      </c>
      <c r="J64" s="206">
        <f>'1'!M56/(H64/60)</f>
        <v>2.4108782684879406</v>
      </c>
      <c r="M64" s="137"/>
      <c r="N64" s="138"/>
      <c r="O64" s="138"/>
      <c r="P64" s="138"/>
      <c r="Q64" s="139"/>
      <c r="T64" s="134"/>
    </row>
    <row r="65" spans="1:17" ht="12.75" customHeight="1" x14ac:dyDescent="0.3">
      <c r="B65" s="207">
        <f>'1'!J57</f>
        <v>1000</v>
      </c>
      <c r="C65" s="208">
        <f>IF('1'!K57&gt;1, ('1'!K57/86400), '1'!K57)</f>
        <v>2.6606481481481481E-3</v>
      </c>
      <c r="D65" s="209">
        <f>'1'!L57</f>
        <v>12.9</v>
      </c>
      <c r="E65" s="210">
        <f>SUM(D61:D65)/86400</f>
        <v>7.0057870370370369E-4</v>
      </c>
      <c r="F65" s="211">
        <f>'1'!M57*3.6</f>
        <v>13.953488372093023</v>
      </c>
      <c r="G65" s="208">
        <f t="shared" si="1"/>
        <v>2.9861111111111113E-3</v>
      </c>
      <c r="H65" s="212">
        <f>'1'!N57</f>
        <v>97.47</v>
      </c>
      <c r="I65" s="211">
        <f>IF('1'!M57=200, " ",('1'!M57^3)/(H65/60))</f>
        <v>35.844387727812382</v>
      </c>
      <c r="J65" s="213">
        <f>'1'!M57/(H65/60)</f>
        <v>2.3859458247141037</v>
      </c>
      <c r="M65" s="137"/>
      <c r="N65" s="138"/>
      <c r="O65" s="138"/>
      <c r="P65" s="138"/>
      <c r="Q65" s="139"/>
    </row>
    <row r="66" spans="1:17" ht="12.75" customHeight="1" x14ac:dyDescent="0.3">
      <c r="B66" s="226" t="s">
        <v>153</v>
      </c>
      <c r="C66" s="227"/>
      <c r="D66" s="228">
        <f>AVERAGE(D48:D65)</f>
        <v>11.637777777777778</v>
      </c>
      <c r="E66" s="226"/>
      <c r="F66" s="229">
        <f>AVERAGE(F48:F65)</f>
        <v>15.538573073540014</v>
      </c>
      <c r="G66" s="227">
        <f>AVERAGE(G48:G65)</f>
        <v>2.6939300411522637E-3</v>
      </c>
      <c r="H66" s="230">
        <f>AVERAGE(H48:H65)</f>
        <v>102.18666666666667</v>
      </c>
      <c r="I66" s="229">
        <f>AVERAGE(I48:I65)</f>
        <v>47.594176193110528</v>
      </c>
      <c r="J66" s="228">
        <f>AVERAGE(J48:J65)</f>
        <v>2.5328028461382939</v>
      </c>
      <c r="M66" s="137" t="s">
        <v>283</v>
      </c>
      <c r="N66" s="138"/>
      <c r="O66" s="138">
        <f>N15</f>
        <v>0</v>
      </c>
      <c r="P66" s="138"/>
      <c r="Q66" s="139" t="str">
        <f>setChartAxis("Rpt-1","Chart 7","Min","Category","Primary",O66)</f>
        <v>Category Primary Min: 0</v>
      </c>
    </row>
    <row r="67" spans="1:17" ht="12.75" customHeight="1" x14ac:dyDescent="0.3">
      <c r="B67" s="237"/>
      <c r="C67" s="238"/>
      <c r="D67" s="239"/>
      <c r="E67" s="237"/>
      <c r="F67" s="240"/>
      <c r="G67" s="238"/>
      <c r="H67" s="241"/>
      <c r="I67" s="240"/>
      <c r="J67" s="239"/>
      <c r="M67" s="137" t="s">
        <v>284</v>
      </c>
      <c r="N67" s="138"/>
      <c r="O67" s="138">
        <f>N16</f>
        <v>1000</v>
      </c>
      <c r="P67" s="138"/>
      <c r="Q67" s="139" t="str">
        <f>setChartAxis("Rpt-1","Chart 7","Max","Category","Primary",O67)</f>
        <v>Category Primary Max: 1000</v>
      </c>
    </row>
    <row r="69" spans="1:17" ht="12.75" customHeight="1" x14ac:dyDescent="0.3">
      <c r="A69" s="303" t="s">
        <v>295</v>
      </c>
      <c r="B69" s="303"/>
      <c r="C69" s="303"/>
      <c r="D69" s="303"/>
      <c r="E69" s="303"/>
      <c r="F69" s="303"/>
      <c r="G69" s="303"/>
      <c r="H69" s="303"/>
      <c r="I69" s="303"/>
      <c r="J69" s="303"/>
      <c r="K69" s="303"/>
    </row>
    <row r="70" spans="1:17" ht="12.75" customHeight="1" x14ac:dyDescent="0.3">
      <c r="A70" s="306" t="str">
        <f>CONCATENATE("Summary Data - ",'Event SetUp'!$G$15&amp;" "&amp;'1'!$D$17&amp;"")</f>
        <v>Summary Data - K1 1000 A Final</v>
      </c>
      <c r="B70" s="307"/>
      <c r="C70" s="307"/>
      <c r="D70" s="307"/>
      <c r="E70" s="307"/>
      <c r="F70" s="307"/>
      <c r="G70" s="307"/>
      <c r="H70" s="307"/>
      <c r="I70" s="307"/>
      <c r="J70" s="307"/>
      <c r="K70" s="308"/>
    </row>
    <row r="71" spans="1:17" ht="12.75" customHeight="1" x14ac:dyDescent="0.3">
      <c r="A71" s="257"/>
      <c r="B71" s="129"/>
      <c r="C71" s="332" t="s">
        <v>144</v>
      </c>
      <c r="D71" s="333"/>
      <c r="E71" s="140" t="s">
        <v>150</v>
      </c>
      <c r="F71" s="141"/>
      <c r="G71" s="332" t="s">
        <v>145</v>
      </c>
      <c r="H71" s="334"/>
      <c r="I71" s="333"/>
      <c r="J71" s="335" t="str">
        <f xml:space="preserve"> IF(B65&gt;499, "Pace per 250", " ")</f>
        <v>Pace per 250</v>
      </c>
      <c r="K71" s="335"/>
    </row>
    <row r="72" spans="1:17" ht="12.75" customHeight="1" x14ac:dyDescent="0.3">
      <c r="A72" s="234" t="s">
        <v>146</v>
      </c>
      <c r="B72" s="235" t="s">
        <v>87</v>
      </c>
      <c r="C72" s="259" t="s">
        <v>152</v>
      </c>
      <c r="D72" s="260" t="s">
        <v>149</v>
      </c>
      <c r="E72" s="261" t="s">
        <v>151</v>
      </c>
      <c r="F72" s="261" t="s">
        <v>286</v>
      </c>
      <c r="G72" s="259" t="str">
        <f>CONCATENATE($O$4," m")</f>
        <v>250 m</v>
      </c>
      <c r="H72" s="262" t="str">
        <f>CONCATENATE($O$4," m Diff")</f>
        <v>250 m Diff</v>
      </c>
      <c r="I72" s="260" t="str">
        <f>IF(B65&gt;499, "500 m", "50-150 m")</f>
        <v>500 m</v>
      </c>
      <c r="J72" s="336"/>
      <c r="K72" s="336"/>
    </row>
    <row r="73" spans="1:17" ht="12.75" customHeight="1" x14ac:dyDescent="0.3">
      <c r="A73" s="231">
        <v>50</v>
      </c>
      <c r="B73" s="149">
        <f>VLOOKUP(A73, B$45:C$65,2,FALSE)</f>
        <v>1.273148148148148E-4</v>
      </c>
      <c r="C73" s="150">
        <f>(A73/(B73*86400))*3.6</f>
        <v>16.363636363636367</v>
      </c>
      <c r="D73" s="151">
        <f>VLOOKUP(A73, B$45:J$65,7,FALSE)</f>
        <v>142.47999999999999</v>
      </c>
      <c r="E73" s="152">
        <f>(C73/3.6)/(D73/60)</f>
        <v>1.9141442499106733</v>
      </c>
      <c r="F73" s="153">
        <f>IF(B65=200, " ", ((C73/3.6)^3)/(D73/60))</f>
        <v>39.548434915509787</v>
      </c>
      <c r="G73" s="154" t="str">
        <f>IF(B65=200, B73, " ")</f>
        <v xml:space="preserve"> </v>
      </c>
      <c r="H73" s="155"/>
      <c r="I73" s="156"/>
      <c r="J73" s="157"/>
      <c r="K73" s="157"/>
    </row>
    <row r="74" spans="1:17" ht="12.75" customHeight="1" x14ac:dyDescent="0.3">
      <c r="A74" s="158">
        <v>100</v>
      </c>
      <c r="B74" s="159">
        <f>VLOOKUP(A74, B$45:C$65,2,FALSE)</f>
        <v>2.3599537037037038E-4</v>
      </c>
      <c r="C74" s="160">
        <f>(A74-A73)/((B74-B73)*86400)*3.6</f>
        <v>19.169329073482423</v>
      </c>
      <c r="D74" s="161">
        <f>VLOOKUP(A74, B$45:J$65,7,FALSE)</f>
        <v>124.42</v>
      </c>
      <c r="E74" s="162">
        <f t="shared" ref="E74:E76" si="2">(C74/3.6)/(D74/60)</f>
        <v>2.5678252523016694</v>
      </c>
      <c r="F74" s="163">
        <f>IF(B$65=200, " ", ((C74/3.6)^3)/(D74/60))</f>
        <v>72.807193327074771</v>
      </c>
      <c r="G74" s="164" t="str">
        <f>IF(B65=200, B74-B73, " ")</f>
        <v xml:space="preserve"> </v>
      </c>
      <c r="H74" s="165" t="str">
        <f>IF(B65=200, (ABS(G74-G73)), " ")</f>
        <v xml:space="preserve"> </v>
      </c>
      <c r="I74" s="166"/>
      <c r="J74" s="167"/>
      <c r="K74" s="167"/>
    </row>
    <row r="75" spans="1:17" ht="12.75" customHeight="1" x14ac:dyDescent="0.3">
      <c r="A75" s="158">
        <f>IF($B$65 &gt; 499, 250, 150)</f>
        <v>250</v>
      </c>
      <c r="B75" s="159">
        <f>VLOOKUP(A75, B$45:C$65,2,FALSE)</f>
        <v>5.9247685185185184E-4</v>
      </c>
      <c r="C75" s="160">
        <f>(A75-A74)/((B75-B74)*86400)*3.6</f>
        <v>17.532467532467532</v>
      </c>
      <c r="D75" s="161">
        <f>VLOOKUP(A75, B$45:J$65,7,FALSE)</f>
        <v>109.09</v>
      </c>
      <c r="E75" s="162">
        <f t="shared" si="2"/>
        <v>2.6785937501860131</v>
      </c>
      <c r="F75" s="163">
        <f>IF(B$65=200, " ", ((C75/3.6)^3)/(D75/60))</f>
        <v>63.531328406123805</v>
      </c>
      <c r="G75" s="164">
        <f>IF(B65 = 200, B75-B74, B75)</f>
        <v>5.9247685185185184E-4</v>
      </c>
      <c r="H75" s="168"/>
      <c r="I75" s="166"/>
      <c r="J75" s="169">
        <f>IF(A76=500, (G75*(B65/250)), " ")</f>
        <v>2.3699074074074074E-3</v>
      </c>
      <c r="K75" s="169"/>
    </row>
    <row r="76" spans="1:17" ht="12.75" customHeight="1" x14ac:dyDescent="0.3">
      <c r="A76" s="158">
        <f>IF($B$65 &gt; 499, 500, 200)</f>
        <v>500</v>
      </c>
      <c r="B76" s="159">
        <f>VLOOKUP(A76, B$45:C$65,2,FALSE)</f>
        <v>1.2726851851851851E-3</v>
      </c>
      <c r="C76" s="160">
        <f>(A76-A75)/((B76-B75)*86400)*3.6</f>
        <v>15.31393568147014</v>
      </c>
      <c r="D76" s="161">
        <f>VLOOKUP(A76, B$45:J$65,7,FALSE)</f>
        <v>99.08</v>
      </c>
      <c r="E76" s="162">
        <f t="shared" si="2"/>
        <v>2.5760220161267227</v>
      </c>
      <c r="F76" s="163">
        <f>IF(B$65=200, " ", ((C76/3.6)^3)/(D76/60))</f>
        <v>46.614196903436735</v>
      </c>
      <c r="G76" s="164">
        <f>B76-B75</f>
        <v>6.8020833333333323E-4</v>
      </c>
      <c r="H76" s="165">
        <f>ABS(G76-G75)</f>
        <v>8.7731481481481384E-5</v>
      </c>
      <c r="I76" s="159">
        <f>IF(A76&gt;499, B76,B75-B73 )</f>
        <v>1.2726851851851851E-3</v>
      </c>
      <c r="J76" s="169">
        <f>IF(A76=500, (G76*(B65/250)), " ")</f>
        <v>2.7208333333333329E-3</v>
      </c>
      <c r="K76" s="169"/>
    </row>
    <row r="77" spans="1:17" ht="12.75" customHeight="1" x14ac:dyDescent="0.3">
      <c r="A77" s="158">
        <f>IF($B$65 &gt; 501, 750, " ")</f>
        <v>750</v>
      </c>
      <c r="B77" s="159">
        <f>IF(A77=" ", " ",(VLOOKUP(A77,B$45:C$65,2,FALSE)))</f>
        <v>1.9600694444444444E-3</v>
      </c>
      <c r="C77" s="160">
        <f>IF(A77=" ", " ",(A77-A76)/((B77-B76)*86400)*3.6)</f>
        <v>15.15406634113487</v>
      </c>
      <c r="D77" s="161">
        <f>IF(A77=" ", " ",(VLOOKUP(A77,B$45:J$65,7,FALSE)))</f>
        <v>103.05</v>
      </c>
      <c r="E77" s="162">
        <f>IF(A77=" "," ",(C77/3.6)/(D77/60))</f>
        <v>2.4509245254948842</v>
      </c>
      <c r="F77" s="163">
        <f>IF(B$65=1000, ((C77/3.6)^3)/(D77/60)," ")</f>
        <v>43.429347505734192</v>
      </c>
      <c r="G77" s="164">
        <f>IF(A77=" ", " ", (B77-B76))</f>
        <v>6.8738425925925933E-4</v>
      </c>
      <c r="H77" s="165">
        <f>IF(A77=" "," ",ABS(G77-G76))</f>
        <v>7.1759259259260993E-6</v>
      </c>
      <c r="I77" s="166"/>
      <c r="J77" s="169">
        <f>IF(A78=1000, (G77*(B65/250)), " ")</f>
        <v>2.7495370370370373E-3</v>
      </c>
      <c r="K77" s="169"/>
    </row>
    <row r="78" spans="1:17" ht="12.75" customHeight="1" x14ac:dyDescent="0.3">
      <c r="A78" s="232">
        <f>IF($B$65 &gt; 501, 1000, " ")</f>
        <v>1000</v>
      </c>
      <c r="B78" s="171">
        <f>IF(A78=" ", " ",(VLOOKUP(A78,B$45:C$65,2,FALSE)))</f>
        <v>2.6606481481481481E-3</v>
      </c>
      <c r="C78" s="172">
        <f>IF(A78=" ", " ",(A78-A77)/((B78-B77)*86400)*3.6)</f>
        <v>14.868660168511482</v>
      </c>
      <c r="D78" s="173">
        <f>IF(A78=" ", " ",(VLOOKUP(A78,B45:J$65,7,FALSE)))</f>
        <v>97.47</v>
      </c>
      <c r="E78" s="174">
        <f>IF(A78=" ", " ", (C78/3.6)/(D78/60))</f>
        <v>2.5424335981176229</v>
      </c>
      <c r="F78" s="175">
        <f>IF(B$65=1000, ((C78/3.6)^3)/(D78/60)," ")</f>
        <v>43.369886800182677</v>
      </c>
      <c r="G78" s="176">
        <f>IF(A78=" ", " ", (B78-B77))</f>
        <v>7.0057870370370369E-4</v>
      </c>
      <c r="H78" s="177">
        <f>IF(A78=" ", " ", ABS(G78-G77))</f>
        <v>1.3194444444444365E-5</v>
      </c>
      <c r="I78" s="171">
        <f>IF(A78=1000, (B78-B76), " ")</f>
        <v>1.387962962962963E-3</v>
      </c>
      <c r="J78" s="178">
        <f>IF(A78=1000, (G78*(B65/250)), " ")</f>
        <v>2.8023148148148148E-3</v>
      </c>
      <c r="K78" s="178"/>
    </row>
    <row r="79" spans="1:17" ht="12.75" customHeight="1" x14ac:dyDescent="0.3">
      <c r="A79" s="179" t="s">
        <v>153</v>
      </c>
      <c r="B79" s="180"/>
      <c r="C79" s="181">
        <f>AVERAGE(C73:C78)</f>
        <v>16.40034919345047</v>
      </c>
      <c r="D79" s="182">
        <f>AVERAGE(D73:D78)</f>
        <v>112.59833333333334</v>
      </c>
      <c r="E79" s="183">
        <f>AVERAGE(E73:E78)</f>
        <v>2.454990565356264</v>
      </c>
      <c r="F79" s="184">
        <f>IF(B65=200," ",AVERAGE(F74:F78))</f>
        <v>53.950390588510437</v>
      </c>
      <c r="G79" s="176">
        <f>IF(B65=200," ",AVERAGE(G75:G78))</f>
        <v>6.6516203703703702E-4</v>
      </c>
      <c r="H79" s="180"/>
      <c r="I79" s="180"/>
      <c r="J79" s="185">
        <f>IF(B65&gt;499,(AVERAGE(J75:J78)),"")</f>
        <v>2.6606481481481481E-3</v>
      </c>
      <c r="K79" s="253"/>
    </row>
    <row r="81" spans="1:20" ht="12.75" customHeight="1" x14ac:dyDescent="0.3">
      <c r="A81" s="128"/>
      <c r="B81" s="128"/>
      <c r="C81" s="128"/>
      <c r="D81" s="128"/>
      <c r="E81" s="128"/>
      <c r="F81" s="128"/>
      <c r="G81" s="128"/>
      <c r="H81" s="128"/>
      <c r="I81" s="128"/>
      <c r="J81" s="128"/>
      <c r="K81" s="128"/>
    </row>
    <row r="82" spans="1:20" ht="12.75" customHeight="1" x14ac:dyDescent="0.3">
      <c r="A82" s="303" t="s">
        <v>294</v>
      </c>
      <c r="B82" s="303"/>
      <c r="C82" s="303"/>
      <c r="D82" s="303"/>
      <c r="E82" s="303"/>
      <c r="F82" s="233"/>
      <c r="G82" s="303" t="s">
        <v>293</v>
      </c>
      <c r="H82" s="303"/>
      <c r="I82" s="303"/>
      <c r="J82" s="303"/>
      <c r="K82" s="303"/>
    </row>
    <row r="83" spans="1:20" ht="12.75" customHeight="1" x14ac:dyDescent="0.3">
      <c r="A83" s="128"/>
      <c r="B83" s="128"/>
      <c r="C83" s="128"/>
      <c r="D83" s="128"/>
      <c r="E83" s="128"/>
      <c r="F83" s="128"/>
      <c r="G83" s="128"/>
      <c r="H83" s="128"/>
      <c r="I83" s="128"/>
      <c r="J83" s="128"/>
      <c r="K83" s="128"/>
      <c r="M83" s="134"/>
    </row>
    <row r="84" spans="1:20" ht="12.75" customHeight="1" x14ac:dyDescent="0.3">
      <c r="A84" s="128"/>
      <c r="B84" s="128"/>
      <c r="C84" s="128"/>
      <c r="D84" s="128"/>
      <c r="E84" s="128"/>
      <c r="F84" s="128"/>
      <c r="G84" s="128"/>
      <c r="H84" s="128"/>
      <c r="I84" s="128"/>
      <c r="J84" s="128"/>
      <c r="K84" s="128"/>
      <c r="M84" s="134"/>
    </row>
    <row r="85" spans="1:20" ht="12.75" customHeight="1" x14ac:dyDescent="0.3">
      <c r="A85" s="128"/>
      <c r="B85" s="128"/>
      <c r="C85" s="128"/>
      <c r="D85" s="128"/>
      <c r="E85" s="128"/>
      <c r="F85" s="128"/>
      <c r="G85" s="128"/>
      <c r="H85" s="128"/>
      <c r="I85" s="128"/>
      <c r="J85" s="128"/>
      <c r="K85" s="128"/>
      <c r="M85" s="134"/>
    </row>
    <row r="86" spans="1:20" ht="12.75" customHeight="1" x14ac:dyDescent="0.3">
      <c r="A86" s="128"/>
      <c r="B86" s="128"/>
      <c r="C86" s="128"/>
      <c r="D86" s="128"/>
      <c r="E86" s="128"/>
      <c r="F86" s="128"/>
      <c r="G86" s="128"/>
      <c r="H86" s="128"/>
      <c r="I86" s="128"/>
      <c r="J86" s="128"/>
      <c r="K86" s="128"/>
      <c r="M86" s="134"/>
    </row>
    <row r="87" spans="1:20" ht="12.75" customHeight="1" x14ac:dyDescent="0.3">
      <c r="A87" s="128"/>
      <c r="B87" s="128"/>
      <c r="C87" s="128"/>
      <c r="D87" s="128"/>
      <c r="E87" s="128"/>
      <c r="F87" s="128"/>
      <c r="G87" s="128"/>
      <c r="H87" s="128"/>
      <c r="I87" s="128"/>
      <c r="J87" s="128"/>
      <c r="K87" s="128"/>
      <c r="T87" s="134"/>
    </row>
    <row r="88" spans="1:20" ht="12.75" customHeight="1" x14ac:dyDescent="0.3">
      <c r="A88" s="128"/>
      <c r="B88" s="128"/>
      <c r="C88" s="128"/>
      <c r="D88" s="128"/>
      <c r="E88" s="128"/>
      <c r="F88" s="128"/>
      <c r="G88" s="128"/>
      <c r="H88" s="128"/>
      <c r="I88" s="128"/>
      <c r="J88" s="128"/>
      <c r="K88" s="128"/>
      <c r="T88" s="134"/>
    </row>
    <row r="89" spans="1:20" ht="12.75" customHeight="1" x14ac:dyDescent="0.3">
      <c r="A89" s="128"/>
      <c r="B89" s="128"/>
      <c r="C89" s="128"/>
      <c r="D89" s="128"/>
      <c r="E89" s="128"/>
      <c r="F89" s="128"/>
      <c r="G89" s="128"/>
      <c r="H89" s="128"/>
      <c r="I89" s="128"/>
      <c r="J89" s="128"/>
      <c r="K89" s="128"/>
      <c r="T89" s="134"/>
    </row>
    <row r="90" spans="1:20" ht="12.75" customHeight="1" x14ac:dyDescent="0.3">
      <c r="A90" s="128"/>
      <c r="B90" s="128"/>
      <c r="C90" s="128"/>
      <c r="D90" s="128"/>
      <c r="E90" s="128"/>
      <c r="F90" s="128"/>
      <c r="G90" s="128"/>
      <c r="H90" s="128"/>
      <c r="I90" s="128"/>
      <c r="J90" s="128"/>
      <c r="K90" s="128"/>
      <c r="T90" s="134"/>
    </row>
    <row r="91" spans="1:20" ht="12.75" customHeight="1" x14ac:dyDescent="0.3">
      <c r="A91" s="128"/>
      <c r="B91" s="128"/>
      <c r="C91" s="128"/>
      <c r="D91" s="128"/>
      <c r="E91" s="128"/>
      <c r="F91" s="128"/>
      <c r="G91" s="128"/>
      <c r="H91" s="128"/>
      <c r="I91" s="128"/>
      <c r="J91" s="128"/>
      <c r="K91" s="128"/>
      <c r="N91" s="137"/>
      <c r="O91" s="138"/>
      <c r="P91" s="138"/>
      <c r="Q91" s="138"/>
      <c r="R91" s="139"/>
      <c r="S91" s="134"/>
    </row>
    <row r="92" spans="1:20" ht="12.75" customHeight="1" x14ac:dyDescent="0.3">
      <c r="A92" s="128"/>
      <c r="B92" s="128"/>
      <c r="C92" s="128"/>
      <c r="D92" s="128"/>
      <c r="E92" s="128"/>
      <c r="F92" s="128"/>
      <c r="G92" s="128"/>
      <c r="H92" s="128"/>
      <c r="I92" s="128"/>
      <c r="J92" s="128"/>
      <c r="K92" s="128"/>
      <c r="N92" s="137"/>
      <c r="O92"/>
      <c r="P92" s="138"/>
      <c r="Q92" s="138"/>
      <c r="R92" s="139"/>
      <c r="S92" s="134"/>
    </row>
    <row r="93" spans="1:20" ht="12.75" customHeight="1" x14ac:dyDescent="0.3">
      <c r="A93" s="128"/>
      <c r="B93" s="128"/>
      <c r="C93" s="128"/>
      <c r="D93" s="128"/>
      <c r="E93" s="128"/>
      <c r="F93" s="128"/>
      <c r="G93" s="128"/>
      <c r="H93" s="128"/>
      <c r="I93" s="128"/>
      <c r="J93" s="128"/>
      <c r="K93" s="128"/>
    </row>
    <row r="94" spans="1:20" ht="12.75" customHeight="1" x14ac:dyDescent="0.3">
      <c r="A94" s="128"/>
      <c r="B94" s="128"/>
      <c r="C94" s="128"/>
      <c r="D94" s="128"/>
      <c r="E94" s="128"/>
      <c r="F94" s="128"/>
      <c r="G94" s="128"/>
      <c r="H94" s="128"/>
      <c r="I94" s="128"/>
      <c r="J94" s="128"/>
      <c r="K94" s="128"/>
    </row>
    <row r="95" spans="1:20" ht="12.75" customHeight="1" x14ac:dyDescent="0.3">
      <c r="A95" s="128"/>
      <c r="B95" s="128"/>
      <c r="C95" s="128"/>
      <c r="D95" s="128"/>
      <c r="E95" s="128"/>
      <c r="F95" s="128"/>
      <c r="G95" s="128"/>
      <c r="H95" s="128"/>
      <c r="I95" s="128"/>
      <c r="J95" s="128"/>
      <c r="K95" s="128"/>
    </row>
    <row r="96" spans="1:20" ht="12.75" customHeight="1" x14ac:dyDescent="0.3">
      <c r="A96" s="128"/>
      <c r="B96" s="128"/>
      <c r="C96" s="128"/>
      <c r="D96" s="128"/>
      <c r="E96" s="128"/>
      <c r="F96" s="128"/>
      <c r="G96" s="128"/>
      <c r="H96" s="128"/>
      <c r="I96" s="128"/>
      <c r="J96" s="128"/>
      <c r="K96" s="128"/>
    </row>
    <row r="97" spans="1:13" ht="12.75" customHeight="1" x14ac:dyDescent="0.3">
      <c r="A97" s="128"/>
      <c r="B97" s="128"/>
      <c r="C97" s="128"/>
      <c r="D97" s="128"/>
      <c r="E97" s="128"/>
      <c r="F97" s="128"/>
      <c r="G97" s="128"/>
      <c r="H97" s="128"/>
      <c r="I97" s="128"/>
      <c r="J97" s="128"/>
      <c r="K97" s="128"/>
    </row>
    <row r="98" spans="1:13" ht="12.75" customHeight="1" x14ac:dyDescent="0.3">
      <c r="A98" s="128"/>
      <c r="B98" s="128"/>
      <c r="C98" s="128"/>
      <c r="D98" s="128"/>
      <c r="E98" s="128"/>
      <c r="F98" s="128"/>
      <c r="G98" s="128"/>
      <c r="H98" s="128"/>
      <c r="I98" s="128"/>
      <c r="J98" s="128"/>
      <c r="K98" s="128"/>
    </row>
    <row r="99" spans="1:13" ht="12.75" customHeight="1" x14ac:dyDescent="0.3">
      <c r="A99" s="128"/>
      <c r="B99" s="128"/>
      <c r="C99" s="128"/>
      <c r="D99" s="128"/>
      <c r="E99" s="128"/>
      <c r="F99" s="128"/>
      <c r="G99" s="128"/>
      <c r="H99" s="128"/>
      <c r="I99" s="128"/>
      <c r="J99" s="128"/>
      <c r="K99" s="128"/>
      <c r="M99" s="134"/>
    </row>
    <row r="100" spans="1:13" ht="12.75" customHeight="1" x14ac:dyDescent="0.3">
      <c r="A100" s="128"/>
      <c r="B100" s="128"/>
      <c r="C100" s="128"/>
      <c r="D100" s="128"/>
      <c r="E100" s="128"/>
      <c r="F100" s="128"/>
      <c r="G100" s="128"/>
      <c r="H100" s="128"/>
      <c r="I100" s="128"/>
      <c r="J100" s="128"/>
      <c r="K100" s="128"/>
      <c r="M100" s="134"/>
    </row>
    <row r="101" spans="1:13" ht="12.75" customHeight="1" x14ac:dyDescent="0.3">
      <c r="A101" s="128"/>
      <c r="B101" s="128"/>
      <c r="C101" s="128"/>
      <c r="D101" s="128"/>
      <c r="E101" s="128"/>
      <c r="F101" s="128"/>
      <c r="G101" s="128"/>
      <c r="H101" s="128"/>
      <c r="I101" s="128"/>
      <c r="J101" s="128"/>
      <c r="K101" s="128"/>
      <c r="M101" s="134"/>
    </row>
    <row r="102" spans="1:13" ht="12.75" customHeight="1" x14ac:dyDescent="0.3">
      <c r="A102" s="128"/>
      <c r="B102" s="128"/>
      <c r="C102" s="128"/>
      <c r="D102" s="128"/>
      <c r="E102" s="128"/>
      <c r="F102" s="128"/>
      <c r="G102" s="128"/>
      <c r="H102" s="128"/>
      <c r="I102" s="128"/>
      <c r="J102" s="128"/>
      <c r="K102" s="128"/>
      <c r="M102" s="134"/>
    </row>
    <row r="103" spans="1:13" ht="12.75" customHeight="1" x14ac:dyDescent="0.3">
      <c r="A103" s="128"/>
      <c r="B103" s="128"/>
      <c r="C103" s="128"/>
      <c r="D103" s="128"/>
      <c r="E103" s="128"/>
      <c r="F103" s="128"/>
      <c r="G103" s="128"/>
      <c r="H103" s="128"/>
      <c r="I103" s="128"/>
      <c r="J103" s="128"/>
      <c r="K103" s="128"/>
    </row>
    <row r="104" spans="1:13" ht="12.75" customHeight="1" x14ac:dyDescent="0.3">
      <c r="A104" s="128"/>
      <c r="B104" s="128"/>
      <c r="C104" s="128"/>
      <c r="D104" s="128"/>
      <c r="E104" s="128"/>
      <c r="F104" s="128"/>
      <c r="G104" s="128"/>
      <c r="H104" s="128"/>
      <c r="I104" s="128"/>
      <c r="J104" s="128"/>
      <c r="K104" s="128"/>
    </row>
    <row r="105" spans="1:13" ht="12.75" customHeight="1" x14ac:dyDescent="0.3">
      <c r="A105" s="128"/>
      <c r="B105" s="128"/>
      <c r="C105" s="128"/>
      <c r="D105" s="128"/>
      <c r="E105" s="128"/>
      <c r="F105" s="128"/>
      <c r="G105" s="128"/>
      <c r="H105" s="128"/>
      <c r="I105" s="128"/>
      <c r="J105" s="128"/>
      <c r="K105" s="128"/>
    </row>
    <row r="106" spans="1:13" ht="12.75" customHeight="1" x14ac:dyDescent="0.3">
      <c r="A106" s="128"/>
      <c r="B106" s="128"/>
      <c r="C106" s="128"/>
      <c r="D106" s="128"/>
      <c r="E106" s="128"/>
      <c r="F106" s="128"/>
      <c r="G106" s="128"/>
      <c r="H106" s="128"/>
      <c r="I106" s="128"/>
      <c r="J106" s="128"/>
      <c r="K106" s="128"/>
    </row>
    <row r="107" spans="1:13" ht="12.75" customHeight="1" x14ac:dyDescent="0.3">
      <c r="A107" s="128"/>
      <c r="B107" s="128"/>
      <c r="C107" s="128"/>
      <c r="D107" s="128"/>
      <c r="E107" s="128"/>
      <c r="F107" s="128"/>
      <c r="G107" s="128"/>
      <c r="H107" s="128"/>
      <c r="I107" s="128"/>
      <c r="J107" s="128"/>
      <c r="K107" s="128"/>
    </row>
    <row r="108" spans="1:13" ht="12.75" customHeight="1" x14ac:dyDescent="0.3">
      <c r="A108" s="128"/>
      <c r="B108" s="128"/>
      <c r="C108" s="128"/>
      <c r="D108" s="128"/>
      <c r="E108" s="128"/>
      <c r="F108" s="128"/>
      <c r="G108" s="128"/>
      <c r="H108" s="128"/>
      <c r="I108" s="128"/>
      <c r="J108" s="128"/>
      <c r="K108" s="128"/>
    </row>
    <row r="109" spans="1:13" ht="12.75" customHeight="1" x14ac:dyDescent="0.3">
      <c r="A109" s="128"/>
      <c r="B109" s="128"/>
      <c r="C109" s="128"/>
      <c r="D109" s="128"/>
      <c r="E109" s="128"/>
      <c r="F109" s="128"/>
      <c r="G109" s="128"/>
      <c r="H109" s="128"/>
      <c r="I109" s="128"/>
      <c r="J109" s="128"/>
      <c r="K109" s="128"/>
    </row>
    <row r="110" spans="1:13" ht="12.75" customHeight="1" x14ac:dyDescent="0.3">
      <c r="A110" s="128"/>
      <c r="B110" s="128"/>
      <c r="C110" s="128"/>
      <c r="D110" s="128"/>
      <c r="E110" s="128"/>
      <c r="F110" s="128"/>
      <c r="G110" s="128"/>
      <c r="H110" s="128"/>
      <c r="I110" s="128"/>
      <c r="J110" s="128"/>
      <c r="K110" s="128"/>
    </row>
    <row r="111" spans="1:13" ht="12.75" customHeight="1" x14ac:dyDescent="0.3">
      <c r="A111" s="128"/>
      <c r="B111" s="128"/>
      <c r="C111" s="128"/>
      <c r="D111" s="128"/>
      <c r="E111" s="128"/>
      <c r="F111" s="128"/>
      <c r="G111" s="128"/>
      <c r="H111" s="128"/>
      <c r="I111" s="128"/>
      <c r="J111" s="128"/>
      <c r="K111" s="128"/>
    </row>
    <row r="112" spans="1:13" ht="12.75" customHeight="1" x14ac:dyDescent="0.3">
      <c r="A112" s="128"/>
      <c r="B112" s="128"/>
      <c r="C112" s="128"/>
      <c r="D112" s="128"/>
      <c r="E112" s="128"/>
      <c r="F112" s="128"/>
      <c r="G112" s="128"/>
      <c r="H112" s="128"/>
      <c r="I112" s="128"/>
      <c r="J112" s="128"/>
      <c r="K112" s="128"/>
    </row>
    <row r="113" spans="1:11" ht="12.75" customHeight="1" x14ac:dyDescent="0.3">
      <c r="A113" s="128"/>
      <c r="B113" s="128"/>
      <c r="C113" s="128"/>
      <c r="D113" s="128"/>
      <c r="E113" s="128"/>
      <c r="F113" s="128"/>
      <c r="G113" s="128"/>
      <c r="H113" s="128"/>
      <c r="I113" s="128"/>
      <c r="J113" s="128"/>
      <c r="K113" s="128"/>
    </row>
    <row r="114" spans="1:11" ht="12.75" customHeight="1" x14ac:dyDescent="0.3">
      <c r="A114" s="128"/>
      <c r="B114" s="128"/>
      <c r="C114" s="128"/>
      <c r="D114" s="128"/>
      <c r="E114" s="128"/>
      <c r="F114" s="128"/>
      <c r="G114" s="128"/>
      <c r="H114" s="128"/>
      <c r="I114" s="128"/>
      <c r="J114" s="128"/>
      <c r="K114" s="128"/>
    </row>
    <row r="115" spans="1:11" ht="12.75" customHeight="1" x14ac:dyDescent="0.3">
      <c r="A115" s="128"/>
      <c r="B115" s="128"/>
      <c r="C115" s="128"/>
      <c r="D115" s="128"/>
      <c r="E115" s="128"/>
      <c r="F115" s="128"/>
      <c r="G115" s="128"/>
      <c r="H115" s="128"/>
      <c r="I115" s="128"/>
      <c r="J115" s="128"/>
      <c r="K115" s="128"/>
    </row>
    <row r="116" spans="1:11" ht="12.75" customHeight="1" x14ac:dyDescent="0.3">
      <c r="A116" s="128"/>
      <c r="B116" s="128"/>
      <c r="C116" s="128"/>
      <c r="D116" s="128"/>
      <c r="E116" s="128"/>
      <c r="F116" s="128"/>
      <c r="G116" s="128"/>
      <c r="H116" s="128"/>
      <c r="I116" s="128"/>
      <c r="J116" s="128"/>
      <c r="K116" s="128"/>
    </row>
    <row r="117" spans="1:11" ht="12.75" customHeight="1" x14ac:dyDescent="0.3">
      <c r="A117" s="128"/>
      <c r="B117" s="128"/>
      <c r="C117" s="128"/>
      <c r="D117" s="128"/>
      <c r="E117" s="128"/>
      <c r="F117" s="128"/>
      <c r="G117" s="128"/>
      <c r="H117" s="128"/>
      <c r="I117" s="128"/>
      <c r="J117" s="128"/>
      <c r="K117" s="128"/>
    </row>
    <row r="118" spans="1:11" ht="12.75" customHeight="1" x14ac:dyDescent="0.3">
      <c r="A118" s="128"/>
      <c r="B118" s="128"/>
      <c r="C118" s="128"/>
      <c r="D118" s="128"/>
      <c r="E118" s="128"/>
      <c r="F118" s="128"/>
      <c r="G118" s="128"/>
      <c r="H118" s="128"/>
      <c r="I118" s="128"/>
      <c r="J118" s="128"/>
      <c r="K118" s="128"/>
    </row>
    <row r="119" spans="1:11" ht="12.75" customHeight="1" x14ac:dyDescent="0.3">
      <c r="A119" s="128"/>
      <c r="B119" s="128"/>
      <c r="C119" s="128"/>
      <c r="D119" s="128"/>
      <c r="E119" s="128"/>
      <c r="F119" s="128"/>
      <c r="G119" s="128"/>
      <c r="H119" s="128"/>
      <c r="I119" s="128"/>
      <c r="J119" s="128"/>
      <c r="K119" s="128"/>
    </row>
    <row r="120" spans="1:11" ht="12.75" customHeight="1" x14ac:dyDescent="0.3">
      <c r="A120" s="128"/>
      <c r="B120" s="128"/>
      <c r="C120" s="128"/>
      <c r="D120" s="128"/>
      <c r="E120" s="128"/>
      <c r="F120" s="128"/>
      <c r="G120" s="128"/>
      <c r="H120" s="128"/>
      <c r="I120" s="128"/>
      <c r="J120" s="128"/>
      <c r="K120" s="128"/>
    </row>
    <row r="121" spans="1:11" ht="12.75" customHeight="1" x14ac:dyDescent="0.3">
      <c r="A121" s="128"/>
      <c r="B121" s="128"/>
      <c r="C121" s="128"/>
      <c r="D121" s="128"/>
      <c r="E121" s="128"/>
      <c r="F121" s="128"/>
      <c r="G121" s="128"/>
      <c r="H121" s="128"/>
      <c r="I121" s="128"/>
      <c r="J121" s="128"/>
      <c r="K121" s="128"/>
    </row>
    <row r="122" spans="1:11" ht="12.75" customHeight="1" x14ac:dyDescent="0.3">
      <c r="A122" s="128"/>
      <c r="B122" s="128"/>
      <c r="C122" s="128"/>
      <c r="D122" s="128"/>
      <c r="E122" s="128"/>
      <c r="F122" s="128"/>
      <c r="G122" s="128"/>
      <c r="H122" s="128"/>
      <c r="I122" s="128"/>
      <c r="J122" s="128"/>
      <c r="K122" s="128"/>
    </row>
    <row r="123" spans="1:11" ht="12.75" customHeight="1" x14ac:dyDescent="0.3">
      <c r="A123" s="128"/>
      <c r="B123" s="128"/>
      <c r="C123" s="128"/>
      <c r="D123" s="128"/>
      <c r="E123" s="128"/>
      <c r="F123" s="128"/>
      <c r="G123" s="128"/>
      <c r="H123" s="128"/>
      <c r="I123" s="128"/>
      <c r="J123" s="128"/>
      <c r="K123" s="128"/>
    </row>
    <row r="124" spans="1:11" ht="12.75" customHeight="1" x14ac:dyDescent="0.3">
      <c r="A124" s="128"/>
      <c r="B124" s="128"/>
      <c r="C124" s="128"/>
      <c r="D124" s="128"/>
      <c r="E124" s="128"/>
      <c r="F124" s="128"/>
      <c r="G124" s="128"/>
      <c r="H124" s="128"/>
      <c r="I124" s="128"/>
      <c r="J124" s="128"/>
      <c r="K124" s="128"/>
    </row>
    <row r="125" spans="1:11" ht="12.75" customHeight="1" x14ac:dyDescent="0.3">
      <c r="A125" s="128"/>
      <c r="B125" s="128"/>
      <c r="C125" s="128"/>
      <c r="D125" s="128"/>
      <c r="E125" s="128"/>
      <c r="F125" s="128"/>
      <c r="G125" s="128"/>
      <c r="H125" s="128"/>
      <c r="I125" s="128"/>
      <c r="J125" s="128"/>
      <c r="K125" s="128"/>
    </row>
    <row r="126" spans="1:11" ht="12.75" customHeight="1" x14ac:dyDescent="0.3">
      <c r="A126" s="128"/>
      <c r="B126" s="128"/>
      <c r="C126" s="128"/>
      <c r="D126" s="128"/>
      <c r="E126" s="128"/>
      <c r="F126" s="128"/>
      <c r="G126" s="128"/>
      <c r="H126" s="128"/>
      <c r="I126" s="128"/>
      <c r="J126" s="128"/>
      <c r="K126" s="128"/>
    </row>
    <row r="127" spans="1:11" ht="12.75" customHeight="1" x14ac:dyDescent="0.3">
      <c r="A127" s="128"/>
      <c r="B127" s="128"/>
      <c r="C127" s="128"/>
      <c r="D127" s="128"/>
      <c r="E127" s="128"/>
      <c r="F127" s="128"/>
      <c r="G127" s="128"/>
      <c r="H127" s="128"/>
      <c r="I127" s="128"/>
      <c r="J127" s="128"/>
      <c r="K127" s="128"/>
    </row>
    <row r="128" spans="1:11" ht="12.75" customHeight="1" x14ac:dyDescent="0.3">
      <c r="A128" s="128"/>
      <c r="B128" s="128"/>
      <c r="C128" s="128"/>
      <c r="D128" s="128"/>
      <c r="E128" s="128"/>
      <c r="F128" s="128"/>
      <c r="G128" s="128"/>
      <c r="H128" s="128"/>
      <c r="I128" s="128"/>
      <c r="J128" s="128"/>
      <c r="K128" s="128"/>
    </row>
    <row r="129" spans="1:11" ht="12.75" customHeight="1" x14ac:dyDescent="0.3">
      <c r="A129" s="128"/>
      <c r="B129" s="128"/>
      <c r="C129" s="128"/>
      <c r="D129" s="128"/>
      <c r="E129" s="128"/>
      <c r="F129" s="128"/>
      <c r="G129" s="128"/>
      <c r="H129" s="128"/>
      <c r="I129" s="128"/>
      <c r="J129" s="128"/>
      <c r="K129" s="128"/>
    </row>
    <row r="130" spans="1:11" ht="12.75" customHeight="1" x14ac:dyDescent="0.3">
      <c r="A130" s="128"/>
      <c r="B130" s="128"/>
      <c r="C130" s="128"/>
      <c r="D130" s="128"/>
      <c r="E130" s="128"/>
      <c r="F130" s="128"/>
      <c r="G130" s="128"/>
      <c r="H130" s="128"/>
      <c r="I130" s="128"/>
      <c r="J130" s="128"/>
      <c r="K130" s="128"/>
    </row>
    <row r="131" spans="1:11" ht="12.75" customHeight="1" x14ac:dyDescent="0.3">
      <c r="A131" s="128"/>
      <c r="B131" s="128"/>
      <c r="C131" s="128"/>
      <c r="D131" s="128"/>
      <c r="E131" s="128"/>
      <c r="F131" s="128"/>
      <c r="G131" s="128"/>
      <c r="H131" s="128"/>
      <c r="I131" s="128"/>
      <c r="J131" s="128"/>
      <c r="K131" s="128"/>
    </row>
    <row r="132" spans="1:11" ht="12.75" customHeight="1" x14ac:dyDescent="0.3">
      <c r="A132" s="128"/>
      <c r="B132" s="128"/>
      <c r="C132" s="128"/>
      <c r="D132" s="128"/>
      <c r="E132" s="128"/>
      <c r="F132" s="128"/>
      <c r="G132" s="128"/>
      <c r="H132" s="128"/>
      <c r="I132" s="128"/>
      <c r="J132" s="128"/>
      <c r="K132" s="128"/>
    </row>
    <row r="133" spans="1:11" ht="12.75" customHeight="1" x14ac:dyDescent="0.3">
      <c r="A133" s="128"/>
      <c r="B133" s="128"/>
      <c r="C133" s="128"/>
      <c r="D133" s="128"/>
      <c r="E133" s="128"/>
      <c r="F133" s="128"/>
      <c r="G133" s="128"/>
      <c r="H133" s="128"/>
      <c r="I133" s="128"/>
      <c r="J133" s="128"/>
      <c r="K133" s="128"/>
    </row>
    <row r="134" spans="1:11" ht="12.75" customHeight="1" x14ac:dyDescent="0.3">
      <c r="A134" s="128"/>
      <c r="B134" s="128"/>
      <c r="C134" s="128"/>
      <c r="D134" s="128"/>
      <c r="E134" s="128"/>
      <c r="F134" s="128"/>
      <c r="G134" s="128"/>
      <c r="H134" s="128"/>
      <c r="I134" s="128"/>
      <c r="J134" s="128"/>
      <c r="K134" s="128"/>
    </row>
    <row r="135" spans="1:11" ht="12.75" customHeight="1" x14ac:dyDescent="0.3">
      <c r="A135" s="128"/>
      <c r="B135" s="128"/>
      <c r="C135" s="128"/>
      <c r="D135" s="128"/>
      <c r="E135" s="128"/>
      <c r="F135" s="128"/>
      <c r="G135" s="128"/>
      <c r="H135" s="128"/>
      <c r="I135" s="128"/>
      <c r="J135" s="128"/>
      <c r="K135" s="128"/>
    </row>
    <row r="136" spans="1:11" ht="12.75" customHeight="1" x14ac:dyDescent="0.3">
      <c r="A136" s="303" t="s">
        <v>297</v>
      </c>
      <c r="B136" s="303"/>
      <c r="C136" s="303"/>
      <c r="D136" s="303"/>
      <c r="E136" s="303"/>
      <c r="F136" s="233"/>
      <c r="G136" s="303" t="s">
        <v>293</v>
      </c>
      <c r="H136" s="303"/>
      <c r="I136" s="303"/>
      <c r="J136" s="303"/>
      <c r="K136" s="303"/>
    </row>
    <row r="137" spans="1:11" ht="12.75" customHeight="1" x14ac:dyDescent="0.3">
      <c r="A137" s="128"/>
      <c r="B137" s="128"/>
      <c r="C137" s="128"/>
      <c r="D137" s="128"/>
      <c r="E137" s="128"/>
      <c r="F137" s="128"/>
      <c r="G137" s="128"/>
      <c r="H137" s="128"/>
      <c r="I137" s="128"/>
      <c r="J137" s="128"/>
      <c r="K137" s="128"/>
    </row>
    <row r="138" spans="1:11" ht="12.75" customHeight="1" x14ac:dyDescent="0.3">
      <c r="A138" s="128"/>
      <c r="B138" s="128"/>
      <c r="C138" s="128"/>
      <c r="D138" s="128"/>
      <c r="E138" s="128"/>
      <c r="F138" s="128"/>
      <c r="G138" s="128"/>
      <c r="H138" s="128"/>
      <c r="I138" s="128"/>
      <c r="J138" s="128"/>
      <c r="K138" s="128"/>
    </row>
    <row r="139" spans="1:11" ht="12.75" customHeight="1" x14ac:dyDescent="0.3">
      <c r="A139" s="128"/>
      <c r="B139" s="128"/>
      <c r="C139" s="128"/>
      <c r="D139" s="128"/>
      <c r="E139" s="128"/>
      <c r="F139" s="128"/>
      <c r="G139" s="128"/>
      <c r="H139" s="128"/>
      <c r="I139" s="128"/>
      <c r="J139" s="128"/>
      <c r="K139" s="128"/>
    </row>
    <row r="140" spans="1:11" ht="12.75" customHeight="1" x14ac:dyDescent="0.3">
      <c r="A140" s="128"/>
      <c r="B140" s="128"/>
      <c r="C140" s="128"/>
      <c r="D140" s="128"/>
      <c r="E140" s="128"/>
      <c r="F140" s="128"/>
      <c r="G140" s="128"/>
      <c r="H140" s="128"/>
      <c r="I140" s="128"/>
      <c r="J140" s="128"/>
      <c r="K140" s="128"/>
    </row>
    <row r="141" spans="1:11" ht="12.75" customHeight="1" x14ac:dyDescent="0.3">
      <c r="A141" s="128"/>
      <c r="B141" s="128"/>
      <c r="C141" s="128"/>
      <c r="D141" s="128"/>
      <c r="E141" s="128"/>
      <c r="F141" s="128"/>
      <c r="G141" s="128"/>
      <c r="H141" s="128"/>
      <c r="I141" s="128"/>
      <c r="J141" s="128"/>
      <c r="K141" s="128"/>
    </row>
    <row r="142" spans="1:11" ht="12.75" customHeight="1" x14ac:dyDescent="0.3">
      <c r="A142" s="128"/>
      <c r="B142" s="128"/>
      <c r="C142" s="128"/>
      <c r="D142" s="128"/>
      <c r="E142" s="128"/>
      <c r="F142" s="128"/>
      <c r="G142" s="128"/>
      <c r="H142" s="128"/>
      <c r="I142" s="128"/>
      <c r="J142" s="128"/>
      <c r="K142" s="128"/>
    </row>
    <row r="143" spans="1:11" ht="12.75" customHeight="1" x14ac:dyDescent="0.3">
      <c r="A143" s="128"/>
      <c r="B143" s="128"/>
      <c r="C143" s="128"/>
      <c r="D143" s="128"/>
      <c r="E143" s="128"/>
      <c r="F143" s="128"/>
      <c r="G143" s="128"/>
      <c r="H143" s="128"/>
      <c r="I143" s="128"/>
      <c r="J143" s="128"/>
      <c r="K143" s="128"/>
    </row>
    <row r="144" spans="1:11" ht="12.75" customHeight="1" x14ac:dyDescent="0.3">
      <c r="A144" s="128"/>
      <c r="B144" s="128"/>
      <c r="C144" s="128"/>
      <c r="D144" s="128"/>
      <c r="E144" s="128"/>
      <c r="F144" s="128"/>
      <c r="G144" s="128"/>
      <c r="H144" s="128"/>
      <c r="I144" s="128"/>
      <c r="J144" s="128"/>
      <c r="K144" s="128"/>
    </row>
    <row r="145" spans="1:11" ht="12.75" customHeight="1" x14ac:dyDescent="0.3">
      <c r="A145" s="128"/>
      <c r="B145" s="128"/>
      <c r="C145" s="128"/>
      <c r="D145" s="128"/>
      <c r="E145" s="128"/>
      <c r="F145" s="128"/>
      <c r="G145" s="128"/>
      <c r="H145" s="128"/>
      <c r="I145" s="128"/>
      <c r="J145" s="128"/>
      <c r="K145" s="128"/>
    </row>
    <row r="146" spans="1:11" ht="12.75" customHeight="1" x14ac:dyDescent="0.3">
      <c r="A146" s="128"/>
      <c r="B146" s="128"/>
      <c r="C146" s="128"/>
      <c r="D146" s="128"/>
      <c r="E146" s="128"/>
      <c r="F146" s="128"/>
      <c r="G146" s="128"/>
      <c r="H146" s="128"/>
      <c r="I146" s="128"/>
      <c r="J146" s="128"/>
      <c r="K146" s="128"/>
    </row>
    <row r="147" spans="1:11" ht="12.75" customHeight="1" x14ac:dyDescent="0.3">
      <c r="A147" s="128"/>
      <c r="B147" s="128"/>
      <c r="C147" s="128"/>
      <c r="D147" s="128"/>
      <c r="E147" s="128"/>
      <c r="F147" s="128"/>
      <c r="G147" s="128"/>
      <c r="H147" s="128"/>
      <c r="I147" s="128"/>
      <c r="J147" s="128"/>
      <c r="K147" s="128"/>
    </row>
    <row r="148" spans="1:11" ht="12.75" customHeight="1" x14ac:dyDescent="0.3">
      <c r="A148" s="128"/>
      <c r="B148" s="128"/>
      <c r="C148" s="128"/>
      <c r="D148" s="128"/>
      <c r="E148" s="128"/>
      <c r="F148" s="128"/>
      <c r="G148" s="128"/>
      <c r="H148" s="128"/>
      <c r="I148" s="128"/>
      <c r="J148" s="128"/>
      <c r="K148" s="128"/>
    </row>
    <row r="149" spans="1:11" ht="12.75" customHeight="1" x14ac:dyDescent="0.3">
      <c r="A149" s="128"/>
      <c r="B149" s="128"/>
      <c r="C149" s="128"/>
      <c r="D149" s="128"/>
      <c r="E149" s="128"/>
      <c r="F149" s="128"/>
      <c r="G149" s="128"/>
      <c r="H149" s="128"/>
      <c r="I149" s="128"/>
      <c r="J149" s="128"/>
      <c r="K149" s="128"/>
    </row>
    <row r="150" spans="1:11" ht="12.75" customHeight="1" x14ac:dyDescent="0.3">
      <c r="A150" s="128"/>
      <c r="B150" s="128"/>
      <c r="C150" s="128"/>
      <c r="D150" s="128"/>
      <c r="E150" s="128"/>
      <c r="F150" s="128"/>
      <c r="G150" s="128"/>
      <c r="H150" s="128"/>
      <c r="I150" s="128"/>
      <c r="J150" s="128"/>
      <c r="K150" s="128"/>
    </row>
    <row r="151" spans="1:11" ht="12.75" customHeight="1" x14ac:dyDescent="0.3">
      <c r="A151" s="128"/>
      <c r="B151" s="128"/>
      <c r="C151" s="128"/>
      <c r="D151" s="128"/>
      <c r="E151" s="128"/>
      <c r="F151" s="128"/>
      <c r="G151" s="128"/>
      <c r="H151" s="128"/>
      <c r="I151" s="128"/>
      <c r="J151" s="128"/>
      <c r="K151" s="128"/>
    </row>
    <row r="152" spans="1:11" ht="12.75" customHeight="1" x14ac:dyDescent="0.3">
      <c r="A152" s="128"/>
      <c r="B152" s="128"/>
      <c r="C152" s="128"/>
      <c r="D152" s="128"/>
      <c r="E152" s="128"/>
      <c r="F152" s="128"/>
      <c r="G152" s="128"/>
      <c r="H152" s="128"/>
      <c r="I152" s="128"/>
      <c r="J152" s="128"/>
      <c r="K152" s="128"/>
    </row>
    <row r="153" spans="1:11" ht="12.75" customHeight="1" x14ac:dyDescent="0.3">
      <c r="A153" s="128"/>
      <c r="B153" s="128"/>
      <c r="C153" s="128"/>
      <c r="D153" s="128"/>
      <c r="E153" s="128"/>
      <c r="F153" s="128"/>
      <c r="G153" s="128"/>
      <c r="H153" s="128"/>
      <c r="I153" s="128"/>
      <c r="J153" s="128"/>
      <c r="K153" s="128"/>
    </row>
    <row r="154" spans="1:11" ht="12.75" customHeight="1" x14ac:dyDescent="0.3">
      <c r="A154" s="303" t="s">
        <v>296</v>
      </c>
      <c r="B154" s="303"/>
      <c r="C154" s="303"/>
      <c r="D154" s="303"/>
      <c r="E154" s="303"/>
      <c r="F154" s="233"/>
      <c r="G154" s="303" t="s">
        <v>293</v>
      </c>
      <c r="H154" s="303"/>
      <c r="I154" s="303"/>
      <c r="J154" s="303"/>
      <c r="K154" s="303"/>
    </row>
    <row r="155" spans="1:11" ht="12.75" customHeight="1" x14ac:dyDescent="0.3">
      <c r="A155" s="128"/>
      <c r="B155" s="128"/>
      <c r="C155" s="128"/>
      <c r="D155" s="128"/>
      <c r="E155" s="128"/>
      <c r="F155" s="128"/>
      <c r="G155" s="128"/>
      <c r="H155" s="128"/>
      <c r="I155" s="128"/>
      <c r="J155" s="128"/>
      <c r="K155" s="128"/>
    </row>
    <row r="156" spans="1:11" ht="12.75" customHeight="1" x14ac:dyDescent="0.3">
      <c r="A156" s="128"/>
      <c r="B156" s="128"/>
      <c r="C156" s="128"/>
      <c r="D156" s="128"/>
      <c r="E156" s="128"/>
      <c r="F156" s="128"/>
      <c r="G156" s="128"/>
      <c r="H156" s="128"/>
      <c r="I156" s="128"/>
      <c r="J156" s="128"/>
      <c r="K156" s="128"/>
    </row>
    <row r="157" spans="1:11" ht="12.75" customHeight="1" x14ac:dyDescent="0.3">
      <c r="A157" s="128"/>
      <c r="B157" s="128"/>
      <c r="C157" s="128"/>
      <c r="D157" s="128"/>
      <c r="E157" s="128"/>
      <c r="F157" s="128"/>
      <c r="G157" s="128"/>
      <c r="H157" s="128"/>
      <c r="I157" s="128"/>
      <c r="J157" s="128"/>
      <c r="K157" s="128"/>
    </row>
    <row r="158" spans="1:11" ht="12.75" customHeight="1" x14ac:dyDescent="0.3">
      <c r="A158" s="128"/>
      <c r="B158" s="128"/>
      <c r="C158" s="128"/>
      <c r="D158" s="128"/>
      <c r="E158" s="128"/>
      <c r="F158" s="128"/>
      <c r="G158" s="128"/>
      <c r="H158" s="128"/>
      <c r="I158" s="128"/>
      <c r="J158" s="128"/>
      <c r="K158" s="128"/>
    </row>
    <row r="159" spans="1:11" ht="12.75" customHeight="1" x14ac:dyDescent="0.3">
      <c r="A159" s="128"/>
      <c r="B159" s="128"/>
      <c r="C159" s="128"/>
      <c r="D159" s="128"/>
      <c r="E159" s="128"/>
      <c r="F159" s="128"/>
      <c r="G159" s="128"/>
      <c r="H159" s="128"/>
      <c r="I159" s="128"/>
      <c r="J159" s="128"/>
      <c r="K159" s="128"/>
    </row>
    <row r="160" spans="1:11" ht="12.75" customHeight="1" x14ac:dyDescent="0.3">
      <c r="A160" s="128"/>
      <c r="B160" s="128"/>
      <c r="C160" s="128"/>
      <c r="D160" s="128"/>
      <c r="E160" s="128"/>
      <c r="F160" s="128"/>
      <c r="G160" s="128"/>
      <c r="H160" s="128"/>
      <c r="I160" s="128"/>
      <c r="J160" s="128"/>
      <c r="K160" s="128"/>
    </row>
    <row r="161" spans="1:11" ht="12.75" customHeight="1" x14ac:dyDescent="0.3">
      <c r="A161" s="128"/>
      <c r="B161" s="128"/>
      <c r="C161" s="128"/>
      <c r="D161" s="128"/>
      <c r="E161" s="128"/>
      <c r="F161" s="128"/>
      <c r="G161" s="128"/>
      <c r="H161" s="128"/>
      <c r="I161" s="128"/>
      <c r="J161" s="128"/>
      <c r="K161" s="128"/>
    </row>
    <row r="162" spans="1:11" ht="12.75" customHeight="1" x14ac:dyDescent="0.3">
      <c r="A162" s="128"/>
      <c r="B162" s="128"/>
      <c r="C162" s="128"/>
      <c r="D162" s="128"/>
      <c r="E162" s="128"/>
      <c r="F162" s="128"/>
      <c r="G162" s="128"/>
      <c r="H162" s="128"/>
      <c r="I162" s="128"/>
      <c r="J162" s="128"/>
      <c r="K162" s="128"/>
    </row>
    <row r="163" spans="1:11" ht="12.75" customHeight="1" x14ac:dyDescent="0.3">
      <c r="A163" s="128"/>
      <c r="B163" s="128"/>
      <c r="C163" s="128"/>
      <c r="D163" s="128"/>
      <c r="E163" s="128"/>
      <c r="F163" s="128"/>
      <c r="G163" s="128"/>
      <c r="H163" s="128"/>
      <c r="I163" s="128"/>
      <c r="J163" s="128"/>
      <c r="K163" s="128"/>
    </row>
    <row r="164" spans="1:11" ht="12.75" customHeight="1" x14ac:dyDescent="0.3">
      <c r="A164" s="128"/>
      <c r="B164" s="128"/>
      <c r="C164" s="128"/>
      <c r="D164" s="128"/>
      <c r="E164" s="128"/>
      <c r="F164" s="128"/>
      <c r="G164" s="128"/>
      <c r="H164" s="128"/>
      <c r="I164" s="128"/>
      <c r="J164" s="128"/>
      <c r="K164" s="128"/>
    </row>
    <row r="165" spans="1:11" ht="12.75" customHeight="1" x14ac:dyDescent="0.3">
      <c r="A165" s="128"/>
      <c r="B165" s="128"/>
      <c r="C165" s="128"/>
      <c r="D165" s="128"/>
      <c r="E165" s="128"/>
      <c r="F165" s="128"/>
      <c r="G165" s="128"/>
      <c r="H165" s="128"/>
      <c r="I165" s="128"/>
      <c r="J165" s="128"/>
      <c r="K165" s="128"/>
    </row>
    <row r="166" spans="1:11" ht="12.75" customHeight="1" x14ac:dyDescent="0.3">
      <c r="A166" s="128"/>
      <c r="B166" s="128"/>
      <c r="C166" s="128"/>
      <c r="D166" s="128"/>
      <c r="E166" s="128"/>
      <c r="F166" s="128"/>
      <c r="G166" s="128"/>
      <c r="H166" s="128"/>
      <c r="I166" s="128"/>
      <c r="J166" s="128"/>
      <c r="K166" s="128"/>
    </row>
    <row r="167" spans="1:11" ht="12.75" customHeight="1" x14ac:dyDescent="0.3">
      <c r="A167" s="128"/>
      <c r="B167" s="128"/>
      <c r="C167" s="128"/>
      <c r="D167" s="128"/>
      <c r="E167" s="128"/>
      <c r="F167" s="128"/>
      <c r="G167" s="128"/>
      <c r="H167" s="128"/>
      <c r="I167" s="128"/>
      <c r="J167" s="128"/>
      <c r="K167" s="128"/>
    </row>
    <row r="168" spans="1:11" ht="12.75" customHeight="1" x14ac:dyDescent="0.3">
      <c r="A168" s="128"/>
      <c r="B168" s="128"/>
      <c r="C168" s="128"/>
      <c r="D168" s="128"/>
      <c r="E168" s="128"/>
      <c r="F168" s="128"/>
      <c r="G168" s="128"/>
      <c r="H168" s="128"/>
      <c r="I168" s="128"/>
      <c r="J168" s="128"/>
      <c r="K168" s="128"/>
    </row>
    <row r="169" spans="1:11" ht="12.75" customHeight="1" x14ac:dyDescent="0.3">
      <c r="A169" s="128"/>
      <c r="B169" s="128"/>
      <c r="C169" s="128"/>
      <c r="D169" s="128"/>
      <c r="E169" s="128"/>
      <c r="F169" s="128"/>
      <c r="G169" s="128"/>
      <c r="H169" s="128"/>
      <c r="I169" s="128"/>
      <c r="J169" s="128"/>
      <c r="K169" s="128"/>
    </row>
    <row r="170" spans="1:11" ht="12.75" customHeight="1" x14ac:dyDescent="0.3">
      <c r="A170" s="128"/>
      <c r="B170" s="128"/>
      <c r="C170" s="128"/>
      <c r="D170" s="128"/>
      <c r="E170" s="128"/>
      <c r="F170" s="128"/>
      <c r="G170" s="128"/>
      <c r="H170" s="128"/>
      <c r="I170" s="128"/>
      <c r="J170" s="128"/>
      <c r="K170" s="128"/>
    </row>
    <row r="171" spans="1:11" ht="12.75" customHeight="1" x14ac:dyDescent="0.3">
      <c r="A171" s="128"/>
      <c r="B171" s="128"/>
      <c r="C171" s="128"/>
      <c r="D171" s="128"/>
      <c r="E171" s="128"/>
      <c r="F171" s="128"/>
      <c r="G171" s="128"/>
      <c r="H171" s="128"/>
      <c r="I171" s="128"/>
      <c r="J171" s="128"/>
      <c r="K171" s="128"/>
    </row>
    <row r="172" spans="1:11" ht="12.75" customHeight="1" x14ac:dyDescent="0.3">
      <c r="A172" s="303" t="s">
        <v>286</v>
      </c>
      <c r="B172" s="303"/>
      <c r="C172" s="303"/>
      <c r="D172" s="303"/>
      <c r="E172" s="303"/>
      <c r="F172" s="233"/>
      <c r="G172" s="303" t="s">
        <v>293</v>
      </c>
      <c r="H172" s="303"/>
      <c r="I172" s="303"/>
      <c r="J172" s="303"/>
      <c r="K172" s="303"/>
    </row>
    <row r="173" spans="1:11" ht="12.75" customHeight="1" x14ac:dyDescent="0.3">
      <c r="A173" s="128"/>
      <c r="B173" s="128"/>
      <c r="C173" s="128"/>
      <c r="D173" s="128"/>
      <c r="E173" s="128"/>
      <c r="F173" s="128"/>
      <c r="G173" s="128"/>
      <c r="H173" s="128"/>
      <c r="I173" s="128"/>
      <c r="J173" s="128"/>
      <c r="K173" s="128"/>
    </row>
    <row r="174" spans="1:11" ht="12.75" customHeight="1" x14ac:dyDescent="0.3">
      <c r="A174" s="128"/>
      <c r="B174" s="128"/>
      <c r="C174" s="128"/>
      <c r="D174" s="128"/>
      <c r="E174" s="128"/>
      <c r="F174" s="128"/>
      <c r="G174" s="128"/>
      <c r="H174" s="128"/>
      <c r="I174" s="128"/>
      <c r="J174" s="128"/>
      <c r="K174" s="128"/>
    </row>
    <row r="175" spans="1:11" ht="12.75" customHeight="1" x14ac:dyDescent="0.3">
      <c r="A175" s="128"/>
      <c r="B175" s="128"/>
      <c r="C175" s="128"/>
      <c r="D175" s="128"/>
      <c r="E175" s="128"/>
      <c r="F175" s="128"/>
      <c r="G175" s="128"/>
      <c r="H175" s="128"/>
      <c r="I175" s="128"/>
      <c r="J175" s="128"/>
      <c r="K175" s="128"/>
    </row>
    <row r="176" spans="1:11" ht="12.75" customHeight="1" x14ac:dyDescent="0.3">
      <c r="A176" s="128"/>
      <c r="B176" s="128"/>
      <c r="C176" s="128"/>
      <c r="D176" s="128"/>
      <c r="E176" s="128"/>
      <c r="F176" s="128"/>
      <c r="G176" s="128"/>
      <c r="H176" s="128"/>
      <c r="I176" s="128"/>
      <c r="J176" s="128"/>
      <c r="K176" s="128"/>
    </row>
    <row r="177" spans="1:11" ht="12.75" customHeight="1" x14ac:dyDescent="0.3">
      <c r="A177" s="128"/>
      <c r="B177" s="128"/>
      <c r="C177" s="128"/>
      <c r="D177" s="128"/>
      <c r="E177" s="128"/>
      <c r="F177" s="128"/>
      <c r="G177" s="128"/>
      <c r="H177" s="128"/>
      <c r="I177" s="128"/>
      <c r="J177" s="128"/>
      <c r="K177" s="128"/>
    </row>
    <row r="178" spans="1:11" ht="12.75" customHeight="1" x14ac:dyDescent="0.3">
      <c r="A178" s="128"/>
      <c r="B178" s="128"/>
      <c r="C178" s="128"/>
      <c r="D178" s="128"/>
      <c r="E178" s="128"/>
      <c r="F178" s="128"/>
      <c r="G178" s="128"/>
      <c r="H178" s="128"/>
      <c r="I178" s="128"/>
      <c r="J178" s="128"/>
      <c r="K178" s="128"/>
    </row>
    <row r="179" spans="1:11" ht="12.75" customHeight="1" x14ac:dyDescent="0.3">
      <c r="A179" s="128"/>
      <c r="B179" s="128"/>
      <c r="C179" s="128"/>
      <c r="D179" s="128"/>
      <c r="E179" s="128"/>
      <c r="F179" s="128"/>
      <c r="G179" s="128"/>
      <c r="H179" s="128"/>
      <c r="I179" s="128"/>
      <c r="J179" s="128"/>
      <c r="K179" s="128"/>
    </row>
    <row r="180" spans="1:11" ht="12.75" customHeight="1" x14ac:dyDescent="0.3">
      <c r="A180" s="128"/>
      <c r="B180" s="128"/>
      <c r="C180" s="128"/>
      <c r="D180" s="128"/>
      <c r="E180" s="128"/>
      <c r="F180" s="128"/>
      <c r="G180" s="128"/>
      <c r="H180" s="128"/>
      <c r="I180" s="128"/>
      <c r="J180" s="128"/>
      <c r="K180" s="128"/>
    </row>
    <row r="181" spans="1:11" ht="12.75" customHeight="1" x14ac:dyDescent="0.3">
      <c r="A181" s="128"/>
      <c r="B181" s="128"/>
      <c r="C181" s="128"/>
      <c r="D181" s="128"/>
      <c r="E181" s="128"/>
      <c r="F181" s="128"/>
      <c r="G181" s="128"/>
      <c r="H181" s="128"/>
      <c r="I181" s="128"/>
      <c r="J181" s="128"/>
      <c r="K181" s="128"/>
    </row>
    <row r="182" spans="1:11" ht="12.75" customHeight="1" x14ac:dyDescent="0.3">
      <c r="A182" s="128"/>
      <c r="B182" s="128"/>
      <c r="C182" s="128"/>
      <c r="D182" s="128"/>
      <c r="E182" s="128"/>
      <c r="F182" s="128"/>
      <c r="G182" s="128"/>
      <c r="H182" s="128"/>
      <c r="I182" s="128"/>
      <c r="J182" s="128"/>
      <c r="K182" s="128"/>
    </row>
    <row r="183" spans="1:11" ht="12.75" customHeight="1" x14ac:dyDescent="0.3">
      <c r="A183" s="128"/>
      <c r="B183" s="128"/>
      <c r="C183" s="128"/>
      <c r="D183" s="128"/>
      <c r="E183" s="128"/>
      <c r="F183" s="128"/>
      <c r="G183" s="128"/>
      <c r="H183" s="128"/>
      <c r="I183" s="128"/>
      <c r="J183" s="128"/>
      <c r="K183" s="128"/>
    </row>
    <row r="184" spans="1:11" ht="12.75" customHeight="1" x14ac:dyDescent="0.3">
      <c r="A184" s="128"/>
      <c r="B184" s="128"/>
      <c r="C184" s="128"/>
      <c r="D184" s="128"/>
      <c r="E184" s="128"/>
      <c r="F184" s="128"/>
      <c r="G184" s="128"/>
      <c r="H184" s="128"/>
      <c r="I184" s="128"/>
      <c r="J184" s="128"/>
      <c r="K184" s="128"/>
    </row>
    <row r="185" spans="1:11" ht="12.75" customHeight="1" x14ac:dyDescent="0.3">
      <c r="A185" s="128"/>
      <c r="B185" s="128"/>
      <c r="C185" s="128"/>
      <c r="D185" s="128"/>
      <c r="E185" s="128"/>
      <c r="F185" s="128"/>
      <c r="G185" s="128"/>
      <c r="H185" s="128"/>
      <c r="I185" s="128"/>
      <c r="J185" s="128"/>
      <c r="K185" s="128"/>
    </row>
    <row r="186" spans="1:11" ht="12.75" customHeight="1" x14ac:dyDescent="0.3">
      <c r="A186" s="128"/>
      <c r="B186" s="128"/>
      <c r="C186" s="128"/>
      <c r="D186" s="128"/>
      <c r="E186" s="128"/>
      <c r="F186" s="128"/>
      <c r="G186" s="128"/>
      <c r="H186" s="128"/>
      <c r="I186" s="128"/>
      <c r="J186" s="128"/>
      <c r="K186" s="128"/>
    </row>
    <row r="187" spans="1:11" ht="12.75" customHeight="1" x14ac:dyDescent="0.3">
      <c r="A187" s="128"/>
      <c r="B187" s="128"/>
      <c r="C187" s="128"/>
      <c r="D187" s="128"/>
      <c r="E187" s="128"/>
      <c r="F187" s="128"/>
      <c r="G187" s="128"/>
      <c r="H187" s="128"/>
      <c r="I187" s="128"/>
      <c r="J187" s="128"/>
      <c r="K187" s="128"/>
    </row>
    <row r="188" spans="1:11" ht="12.75" customHeight="1" x14ac:dyDescent="0.3">
      <c r="A188" s="128"/>
      <c r="B188" s="128"/>
      <c r="C188" s="128"/>
      <c r="D188" s="128"/>
      <c r="E188" s="128"/>
      <c r="F188" s="128"/>
      <c r="G188" s="128"/>
      <c r="H188" s="128"/>
      <c r="I188" s="128"/>
      <c r="J188" s="128"/>
      <c r="K188" s="128"/>
    </row>
    <row r="189" spans="1:11" ht="12.75" customHeight="1" x14ac:dyDescent="0.3">
      <c r="A189" s="128"/>
      <c r="B189" s="128"/>
      <c r="C189" s="128"/>
      <c r="D189" s="128"/>
      <c r="E189" s="128"/>
      <c r="F189" s="128"/>
      <c r="G189" s="128"/>
      <c r="H189" s="128"/>
      <c r="I189" s="128"/>
      <c r="J189" s="128"/>
      <c r="K189" s="128"/>
    </row>
    <row r="190" spans="1:11" ht="12.75" customHeight="1" x14ac:dyDescent="0.3">
      <c r="A190" s="128"/>
      <c r="B190" s="128"/>
      <c r="C190" s="128"/>
      <c r="D190" s="128"/>
      <c r="E190" s="128"/>
      <c r="F190" s="128"/>
      <c r="G190" s="128"/>
      <c r="H190" s="128"/>
      <c r="I190" s="128"/>
      <c r="J190" s="128"/>
      <c r="K190" s="128"/>
    </row>
    <row r="191" spans="1:11" ht="12.75" customHeight="1" x14ac:dyDescent="0.3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7"/>
    </row>
    <row r="192" spans="1:11" ht="12.75" customHeight="1" x14ac:dyDescent="0.3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7"/>
    </row>
    <row r="193" spans="1:11" ht="12.75" customHeight="1" x14ac:dyDescent="0.3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7"/>
    </row>
    <row r="194" spans="1:11" ht="12.75" customHeight="1" x14ac:dyDescent="0.3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7"/>
    </row>
    <row r="195" spans="1:11" ht="12.75" customHeight="1" x14ac:dyDescent="0.3">
      <c r="A195" s="67"/>
      <c r="B195" s="67"/>
      <c r="C195" s="67"/>
      <c r="D195" s="67"/>
      <c r="E195" s="67"/>
      <c r="F195" s="67"/>
      <c r="G195" s="67"/>
      <c r="H195" s="67"/>
      <c r="I195" s="67"/>
      <c r="J195" s="67"/>
      <c r="K195" s="67"/>
    </row>
    <row r="196" spans="1:11" ht="12.75" customHeight="1" x14ac:dyDescent="0.3">
      <c r="A196" s="67"/>
      <c r="B196" s="67"/>
      <c r="C196" s="67"/>
      <c r="D196" s="67"/>
      <c r="E196" s="67"/>
      <c r="F196" s="67"/>
      <c r="G196" s="67"/>
      <c r="H196" s="67"/>
      <c r="I196" s="67"/>
      <c r="J196" s="67"/>
      <c r="K196" s="67"/>
    </row>
    <row r="197" spans="1:11" ht="12.75" customHeight="1" x14ac:dyDescent="0.3">
      <c r="A197" s="67"/>
      <c r="B197" s="67"/>
      <c r="C197" s="67"/>
      <c r="D197" s="67"/>
      <c r="E197" s="67"/>
      <c r="F197" s="67"/>
      <c r="G197" s="67"/>
      <c r="H197" s="67"/>
      <c r="I197" s="67"/>
      <c r="J197" s="67"/>
      <c r="K197" s="67"/>
    </row>
    <row r="198" spans="1:11" ht="12.75" customHeight="1" x14ac:dyDescent="0.3">
      <c r="A198" s="67"/>
      <c r="B198" s="67"/>
      <c r="C198" s="67"/>
      <c r="D198" s="67"/>
      <c r="E198" s="67"/>
      <c r="F198" s="67"/>
      <c r="G198" s="67"/>
      <c r="H198" s="67"/>
      <c r="I198" s="67"/>
      <c r="J198" s="67"/>
      <c r="K198" s="67"/>
    </row>
    <row r="199" spans="1:11" ht="12.75" customHeight="1" x14ac:dyDescent="0.3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67"/>
    </row>
    <row r="200" spans="1:11" ht="12.75" customHeight="1" x14ac:dyDescent="0.3">
      <c r="A200" s="67"/>
      <c r="B200" s="67"/>
      <c r="C200" s="67"/>
      <c r="D200" s="67"/>
      <c r="E200" s="67"/>
      <c r="F200" s="67"/>
      <c r="G200" s="67"/>
      <c r="H200" s="67"/>
      <c r="I200" s="67"/>
      <c r="J200" s="67"/>
      <c r="K200" s="67"/>
    </row>
    <row r="201" spans="1:11" ht="12.75" customHeigh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ht="12.75" customHeigh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ht="12.75" customHeigh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ht="12.75" customHeigh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ht="12.75" customHeigh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ht="12.75" customHeigh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ht="12.75" customHeigh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ht="12.75" customHeigh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ht="12.75" customHeigh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ht="12.75" customHeigh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ht="12.75" customHeigh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ht="12.75" customHeigh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ht="12.75" customHeigh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ht="12.75" customHeigh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ht="12.75" customHeigh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ht="12.75" customHeigh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ht="12.75" customHeigh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ht="12.75" customHeigh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ht="12.75" customHeigh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ht="12.75" customHeigh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ht="12.75" customHeigh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ht="12.75" customHeigh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ht="12.75" customHeigh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ht="12.75" customHeigh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ht="12.75" customHeigh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ht="12.75" customHeigh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ht="12.75" customHeigh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ht="12.75" customHeigh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ht="12.75" customHeigh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ht="12.75" customHeigh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ht="12.75" customHeigh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ht="12.75" customHeigh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ht="12.75" customHeigh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ht="12.75" customHeigh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ht="12.75" customHeigh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ht="12.75" customHeigh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ht="12.75" customHeigh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ht="12.75" customHeigh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ht="12.75" customHeigh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ht="12.75" customHeigh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ht="12.75" customHeigh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ht="12.75" customHeigh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ht="12.75" customHeigh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ht="12.75" customHeigh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ht="12.75" customHeigh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ht="12.75" customHeigh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ht="12.75" customHeigh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ht="12.75" customHeigh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ht="12.75" customHeigh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ht="12.75" customHeigh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ht="12.75" customHeigh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ht="12.75" customHeigh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ht="12.75" customHeigh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ht="12.75" customHeigh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ht="12.75" customHeigh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ht="12.75" customHeight="1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ht="12.75" customHeight="1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ht="12.75" customHeight="1" x14ac:dyDescent="0.3">
      <c r="A258"/>
      <c r="B258"/>
      <c r="C258"/>
      <c r="D258"/>
      <c r="E258"/>
      <c r="F258"/>
      <c r="G258"/>
      <c r="H258"/>
      <c r="I258"/>
      <c r="J258"/>
      <c r="K258"/>
    </row>
  </sheetData>
  <mergeCells count="37">
    <mergeCell ref="A172:E172"/>
    <mergeCell ref="G172:K172"/>
    <mergeCell ref="D1:H1"/>
    <mergeCell ref="A69:K69"/>
    <mergeCell ref="A5:B5"/>
    <mergeCell ref="C71:D71"/>
    <mergeCell ref="G71:I71"/>
    <mergeCell ref="J71:J72"/>
    <mergeCell ref="K71:K72"/>
    <mergeCell ref="G43:G44"/>
    <mergeCell ref="A41:K41"/>
    <mergeCell ref="H43:H44"/>
    <mergeCell ref="I43:I44"/>
    <mergeCell ref="J43:J44"/>
    <mergeCell ref="A136:E136"/>
    <mergeCell ref="G136:K136"/>
    <mergeCell ref="A154:E154"/>
    <mergeCell ref="G154:K154"/>
    <mergeCell ref="J7:K7"/>
    <mergeCell ref="A70:K70"/>
    <mergeCell ref="D9:E10"/>
    <mergeCell ref="I9:J10"/>
    <mergeCell ref="G9:H10"/>
    <mergeCell ref="B43:B44"/>
    <mergeCell ref="C43:C44"/>
    <mergeCell ref="D43:D44"/>
    <mergeCell ref="F43:F44"/>
    <mergeCell ref="B9:C10"/>
    <mergeCell ref="A14:K14"/>
    <mergeCell ref="A82:E82"/>
    <mergeCell ref="G82:K82"/>
    <mergeCell ref="D2:H2"/>
    <mergeCell ref="D3:H3"/>
    <mergeCell ref="H6:I6"/>
    <mergeCell ref="C5:D5"/>
    <mergeCell ref="E5:F5"/>
    <mergeCell ref="G5:H5"/>
  </mergeCells>
  <conditionalFormatting sqref="H76">
    <cfRule type="expression" dxfId="22" priority="6" stopIfTrue="1">
      <formula>$G$76&gt;$G$75</formula>
    </cfRule>
  </conditionalFormatting>
  <conditionalFormatting sqref="H78">
    <cfRule type="expression" dxfId="21" priority="5" stopIfTrue="1">
      <formula>$G$78&gt;$G$77</formula>
    </cfRule>
  </conditionalFormatting>
  <conditionalFormatting sqref="H77">
    <cfRule type="expression" dxfId="20" priority="4">
      <formula>$G$77&gt;$G$76</formula>
    </cfRule>
  </conditionalFormatting>
  <conditionalFormatting sqref="A75:K75">
    <cfRule type="expression" dxfId="19" priority="49">
      <formula>$A75=250</formula>
    </cfRule>
  </conditionalFormatting>
  <conditionalFormatting sqref="A77:K77">
    <cfRule type="expression" dxfId="18" priority="50" stopIfTrue="1">
      <formula>$A77=750</formula>
    </cfRule>
  </conditionalFormatting>
  <printOptions horizontalCentered="1" verticalCentered="1"/>
  <pageMargins left="3.937007874015748E-2" right="3.937007874015748E-2" top="0.15748031496062992" bottom="0.15748031496062992" header="0.19685039370078741" footer="0.19685039370078741"/>
  <pageSetup paperSize="9" scale="9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xport2PDF">
                <anchor moveWithCells="1" sizeWithCells="1">
                  <from>
                    <xdr:col>14</xdr:col>
                    <xdr:colOff>175260</xdr:colOff>
                    <xdr:row>4</xdr:row>
                    <xdr:rowOff>83820</xdr:rowOff>
                  </from>
                  <to>
                    <xdr:col>16</xdr:col>
                    <xdr:colOff>137160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5"/>
    <pageSetUpPr fitToPage="1"/>
  </sheetPr>
  <dimension ref="A1:U251"/>
  <sheetViews>
    <sheetView view="pageBreakPreview" topLeftCell="A90" zoomScaleNormal="85" zoomScaleSheetLayoutView="100" zoomScalePageLayoutView="85" workbookViewId="0">
      <selection activeCell="P77" sqref="P77"/>
    </sheetView>
  </sheetViews>
  <sheetFormatPr defaultColWidth="9.33203125" defaultRowHeight="12.75" customHeight="1" x14ac:dyDescent="0.3"/>
  <cols>
    <col min="1" max="7" width="9.33203125" style="124"/>
    <col min="8" max="8" width="9.33203125" style="124" customWidth="1"/>
    <col min="9" max="9" width="9.33203125" style="124"/>
    <col min="10" max="10" width="10.44140625" style="124" customWidth="1"/>
    <col min="11" max="11" width="7.44140625" style="124" customWidth="1"/>
    <col min="12" max="16384" width="9.33203125" style="124"/>
  </cols>
  <sheetData>
    <row r="1" spans="1:21" ht="18.75" customHeight="1" x14ac:dyDescent="0.3">
      <c r="A1" s="123"/>
      <c r="B1" s="123"/>
      <c r="C1" s="123"/>
      <c r="D1" s="331" t="s">
        <v>292</v>
      </c>
      <c r="E1" s="331"/>
      <c r="F1" s="331"/>
      <c r="G1" s="331"/>
      <c r="H1" s="331"/>
      <c r="I1" s="123"/>
      <c r="J1" s="123"/>
      <c r="K1" s="123"/>
      <c r="M1" s="124" t="s">
        <v>188</v>
      </c>
    </row>
    <row r="2" spans="1:21" ht="18.75" customHeight="1" x14ac:dyDescent="0.3">
      <c r="A2" s="123"/>
      <c r="B2" s="123"/>
      <c r="C2" s="123"/>
      <c r="D2" s="295" t="str">
        <f>CONCATENATE('Event SetUp'!D8," ",'Event SetUp'!D9," ",TEXT('1'!$G$12,"yyyy"))</f>
        <v>Grand Prix 2 SIRC 2020</v>
      </c>
      <c r="E2" s="295"/>
      <c r="F2" s="295"/>
      <c r="G2" s="295"/>
      <c r="H2" s="295"/>
      <c r="I2" s="123"/>
      <c r="J2" s="123"/>
      <c r="K2" s="123"/>
      <c r="M2" s="124" t="str">
        <f>CONCATENATE('Event SetUp'!C23, "_", '2'!$D$17)</f>
        <v>Fletcher Cunningham_Grand Prix 2_20200215_MK1_Senior_1000_A Final</v>
      </c>
    </row>
    <row r="3" spans="1:21" ht="18.75" customHeight="1" x14ac:dyDescent="0.3">
      <c r="A3" s="123"/>
      <c r="B3" s="123"/>
      <c r="C3" s="123"/>
      <c r="D3" s="296" t="str">
        <f>'Event SetUp'!D2&amp;" - "&amp;'Event SetUp'!$G$15&amp;" "&amp;'2'!$D$17&amp;" "&amp;"("&amp;'Event SetUp'!D13&amp;")"</f>
        <v>Fletcher Cunningham - K1 1000 A Final (Senior)</v>
      </c>
      <c r="E3" s="296"/>
      <c r="F3" s="296"/>
      <c r="G3" s="296"/>
      <c r="H3" s="296"/>
      <c r="I3" s="123"/>
      <c r="J3" s="123"/>
      <c r="K3" s="123"/>
    </row>
    <row r="4" spans="1:21" ht="6" customHeight="1" x14ac:dyDescent="0.3">
      <c r="A4" s="126"/>
      <c r="B4" s="126"/>
      <c r="C4" s="126"/>
      <c r="D4" s="121"/>
      <c r="E4" s="121"/>
      <c r="F4" s="121"/>
      <c r="G4" s="121"/>
      <c r="H4" s="121"/>
      <c r="I4" s="126"/>
      <c r="J4" s="126"/>
      <c r="K4" s="126"/>
      <c r="M4" s="124">
        <f>IF(B65=200, (B65/4), 250)</f>
        <v>250</v>
      </c>
      <c r="O4" s="125"/>
      <c r="P4" s="125"/>
      <c r="U4" s="125"/>
    </row>
    <row r="5" spans="1:21" ht="14.4" x14ac:dyDescent="0.3">
      <c r="A5" s="301" t="str">
        <f>IF('Event SetUp'!D3="", "Seat 1: ","Seat 1: "&amp;'Event SetUp'!D3)</f>
        <v>Seat 1: Fletcher Cunningham</v>
      </c>
      <c r="B5" s="302"/>
      <c r="C5" s="299" t="str">
        <f>IF('Event SetUp'!D4="", "Seat 2: ","Seat 2: "&amp;'Event SetUp'!D4)</f>
        <v xml:space="preserve">Seat 2: </v>
      </c>
      <c r="D5" s="300"/>
      <c r="E5" s="301" t="str">
        <f>IF('Event SetUp'!D5="", "Seat 3: ","Seat 3: "&amp;'Event SetUp'!D5)</f>
        <v xml:space="preserve">Seat 3: </v>
      </c>
      <c r="F5" s="302"/>
      <c r="G5" s="299" t="str">
        <f>IF('Event SetUp'!D6="", "Seat 4: ","Seat 4: "&amp;'Event SetUp'!D6)</f>
        <v xml:space="preserve">Seat 4: </v>
      </c>
      <c r="H5" s="300"/>
      <c r="I5" s="193" t="s">
        <v>134</v>
      </c>
      <c r="J5" s="236">
        <f>'2'!$D$18</f>
        <v>1</v>
      </c>
      <c r="M5" s="127"/>
      <c r="O5" s="125"/>
      <c r="P5" s="125"/>
      <c r="Q5" s="125"/>
      <c r="R5" s="125"/>
      <c r="S5" s="125"/>
      <c r="T5" s="125"/>
      <c r="U5" s="125"/>
    </row>
    <row r="6" spans="1:21" ht="6" customHeight="1" x14ac:dyDescent="0.3">
      <c r="B6" s="197"/>
      <c r="C6"/>
      <c r="D6" s="194"/>
      <c r="F6" s="194"/>
      <c r="H6" s="297"/>
      <c r="I6" s="298"/>
      <c r="J6" s="194"/>
      <c r="O6" s="125"/>
      <c r="P6" s="125"/>
      <c r="Q6" s="125"/>
      <c r="R6" s="125"/>
      <c r="S6" s="125"/>
      <c r="T6" s="125"/>
      <c r="U6" s="125"/>
    </row>
    <row r="7" spans="1:21" ht="14.4" x14ac:dyDescent="0.3">
      <c r="A7" s="195" t="s">
        <v>265</v>
      </c>
      <c r="B7" s="196">
        <f>Enviromentals!D19</f>
        <v>0</v>
      </c>
      <c r="C7" s="195" t="s">
        <v>266</v>
      </c>
      <c r="D7" s="196">
        <f>Enviromentals!H19</f>
        <v>0</v>
      </c>
      <c r="E7" s="195" t="s">
        <v>262</v>
      </c>
      <c r="F7" s="196">
        <f>Enviromentals!D22</f>
        <v>0</v>
      </c>
      <c r="G7" s="195" t="s">
        <v>263</v>
      </c>
      <c r="H7" s="186" t="str">
        <f>Enviromentals!H22</f>
        <v>Head</v>
      </c>
      <c r="I7" s="195" t="s">
        <v>264</v>
      </c>
      <c r="J7" s="304" t="str">
        <f>Enviromentals!D26&amp;" - "&amp;Enviromentals!H26</f>
        <v xml:space="preserve"> - Fresh</v>
      </c>
      <c r="K7" s="305"/>
      <c r="O7" s="125"/>
      <c r="P7" s="125"/>
      <c r="Q7" s="125"/>
      <c r="R7" s="125"/>
      <c r="S7" s="125"/>
      <c r="T7" s="125"/>
      <c r="U7" s="125"/>
    </row>
    <row r="8" spans="1:21" ht="6" customHeight="1" x14ac:dyDescent="0.3">
      <c r="A8" s="126"/>
      <c r="D8" s="188"/>
      <c r="H8" s="194"/>
      <c r="I8"/>
      <c r="J8" s="192"/>
      <c r="O8" s="125"/>
      <c r="P8" s="125"/>
      <c r="Q8" s="125"/>
      <c r="R8" s="125"/>
      <c r="S8" s="125"/>
      <c r="T8" s="125"/>
      <c r="U8" s="125"/>
    </row>
    <row r="9" spans="1:21" ht="11.25" customHeight="1" x14ac:dyDescent="0.3">
      <c r="B9" s="327" t="s">
        <v>135</v>
      </c>
      <c r="C9" s="328"/>
      <c r="D9" s="309" t="str">
        <f>'2'!$D$19</f>
        <v>1st</v>
      </c>
      <c r="E9" s="310"/>
      <c r="G9" s="317" t="s">
        <v>136</v>
      </c>
      <c r="H9" s="318"/>
      <c r="I9" s="313">
        <f>IF('2'!$D$23=" ",0,'2'!$D$23)</f>
        <v>2.5578703703703705E-3</v>
      </c>
      <c r="J9" s="314"/>
      <c r="K9" s="128"/>
      <c r="L9" s="128"/>
      <c r="O9" s="125"/>
      <c r="P9" s="125"/>
      <c r="Q9" s="125"/>
      <c r="R9" s="125"/>
      <c r="S9" s="125"/>
      <c r="T9" s="125"/>
      <c r="U9" s="125"/>
    </row>
    <row r="10" spans="1:21" ht="11.25" customHeight="1" x14ac:dyDescent="0.3">
      <c r="B10" s="329"/>
      <c r="C10" s="330"/>
      <c r="D10" s="311"/>
      <c r="E10" s="312"/>
      <c r="G10" s="319"/>
      <c r="H10" s="320"/>
      <c r="I10" s="315"/>
      <c r="J10" s="316"/>
      <c r="K10" s="129"/>
      <c r="L10" s="128"/>
      <c r="O10" s="125"/>
      <c r="P10" s="125"/>
      <c r="Q10" s="125"/>
      <c r="R10" s="125"/>
      <c r="S10" s="125"/>
      <c r="T10" s="125"/>
      <c r="U10" s="125"/>
    </row>
    <row r="11" spans="1:21" ht="6" customHeight="1" x14ac:dyDescent="0.3">
      <c r="B11" s="126"/>
      <c r="I11" s="126"/>
      <c r="J11" s="128"/>
      <c r="K11" s="128"/>
      <c r="L11" s="128"/>
      <c r="O11" s="125"/>
      <c r="P11" s="125"/>
      <c r="Q11" s="125"/>
      <c r="R11" s="125"/>
      <c r="S11" s="125"/>
      <c r="T11" s="125"/>
      <c r="U11" s="125"/>
    </row>
    <row r="12" spans="1:21" ht="15" customHeight="1" x14ac:dyDescent="0.3">
      <c r="B12" s="243" t="s">
        <v>137</v>
      </c>
      <c r="C12" s="242">
        <f>IF('2'!$D$24=" ",0,'2'!$D$24)</f>
        <v>2.5578703703703705E-3</v>
      </c>
      <c r="D12" s="244" t="s">
        <v>138</v>
      </c>
      <c r="E12" s="245">
        <f>($I$9/$C$12)</f>
        <v>1</v>
      </c>
      <c r="F12" s="126"/>
      <c r="G12" s="246" t="s">
        <v>261</v>
      </c>
      <c r="H12" s="247">
        <f>IF('Event SetUp'!$H$14=" ",0,'Event SetUp'!$H$14)</f>
        <v>2.3981799768518519E-3</v>
      </c>
      <c r="I12" s="248" t="s">
        <v>260</v>
      </c>
      <c r="J12" s="249">
        <f>($I$9/$H$12)</f>
        <v>1.0665881606301075</v>
      </c>
    </row>
    <row r="13" spans="1:21" ht="6" customHeight="1" x14ac:dyDescent="0.3">
      <c r="B13"/>
      <c r="C13"/>
      <c r="D13"/>
      <c r="E13"/>
      <c r="F13"/>
      <c r="G13"/>
      <c r="H13"/>
      <c r="I13"/>
      <c r="J13"/>
      <c r="T13" s="198">
        <f>'2'!O36</f>
        <v>0</v>
      </c>
    </row>
    <row r="14" spans="1:21" ht="14.4" x14ac:dyDescent="0.3">
      <c r="A14" s="303" t="s">
        <v>287</v>
      </c>
      <c r="B14" s="303"/>
      <c r="C14" s="303"/>
      <c r="D14" s="303"/>
      <c r="E14" s="303"/>
      <c r="F14" s="303"/>
      <c r="G14" s="303"/>
      <c r="H14" s="303"/>
      <c r="I14" s="303"/>
      <c r="J14" s="303"/>
      <c r="K14" s="303"/>
      <c r="M14" s="124" t="s">
        <v>180</v>
      </c>
      <c r="P14" s="124" t="s">
        <v>240</v>
      </c>
      <c r="R14" s="124" t="s">
        <v>238</v>
      </c>
      <c r="T14" s="124" t="s">
        <v>241</v>
      </c>
    </row>
    <row r="15" spans="1:21" ht="12.75" customHeight="1" x14ac:dyDescent="0.3">
      <c r="A15" s="128"/>
      <c r="B15" s="128"/>
      <c r="C15" s="128"/>
      <c r="D15" s="128"/>
      <c r="E15" s="128"/>
      <c r="F15" s="128"/>
      <c r="G15" s="128"/>
      <c r="H15" s="128"/>
      <c r="I15" s="128"/>
      <c r="J15" s="128"/>
      <c r="K15" s="128"/>
      <c r="M15" s="130" t="s">
        <v>174</v>
      </c>
      <c r="N15" s="124">
        <f>B45</f>
        <v>0</v>
      </c>
      <c r="P15" s="131">
        <f>'Event SetUp'!$I$14</f>
        <v>4.8261907720819339</v>
      </c>
      <c r="Q15" s="124">
        <f>P15*3.6</f>
        <v>17.374286779494962</v>
      </c>
      <c r="R15" s="131">
        <f>N16/(C12*86400)</f>
        <v>0</v>
      </c>
      <c r="S15" s="124">
        <f>R15*3.6</f>
        <v>0</v>
      </c>
      <c r="T15" s="131" t="e">
        <f>N16/(T13*86400)</f>
        <v>#DIV/0!</v>
      </c>
      <c r="U15" s="124" t="e">
        <f>T15*3.6</f>
        <v>#DIV/0!</v>
      </c>
    </row>
    <row r="16" spans="1:21" ht="12.75" customHeight="1" x14ac:dyDescent="0.3">
      <c r="A16" s="128"/>
      <c r="B16" s="128"/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30" t="s">
        <v>175</v>
      </c>
      <c r="N16" s="124">
        <f>(B65)</f>
        <v>0</v>
      </c>
      <c r="P16" s="131">
        <f>'Event SetUp'!$I$14</f>
        <v>4.8261907720819339</v>
      </c>
      <c r="Q16" s="124">
        <f>P16*3.6</f>
        <v>17.374286779494962</v>
      </c>
      <c r="R16" s="131">
        <f>$R$15</f>
        <v>0</v>
      </c>
      <c r="S16" s="124">
        <f>R16*3.6</f>
        <v>0</v>
      </c>
      <c r="T16" s="131" t="e">
        <f>$T$15</f>
        <v>#DIV/0!</v>
      </c>
      <c r="U16" s="124" t="e">
        <f>T16*3.6</f>
        <v>#DIV/0!</v>
      </c>
    </row>
    <row r="17" spans="1:18" ht="12.75" customHeight="1" x14ac:dyDescent="0.3">
      <c r="A17" s="128"/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4" t="s">
        <v>181</v>
      </c>
      <c r="N17" s="124">
        <f>IF(N16&gt;200,N16/10,N16/8)</f>
        <v>0</v>
      </c>
    </row>
    <row r="18" spans="1:18" ht="12.75" customHeight="1" x14ac:dyDescent="0.3">
      <c r="A18" s="128"/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4" t="s">
        <v>182</v>
      </c>
      <c r="N18" s="124">
        <f>IF(N16&gt;200, N17/2, 10)</f>
        <v>10</v>
      </c>
      <c r="P18" s="124" t="s">
        <v>280</v>
      </c>
    </row>
    <row r="19" spans="1:18" ht="12.75" customHeight="1" x14ac:dyDescent="0.3">
      <c r="A19" s="128"/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30" t="s">
        <v>176</v>
      </c>
      <c r="N19" s="131">
        <f>P32</f>
        <v>0</v>
      </c>
      <c r="P19" s="132" t="e">
        <f>G75</f>
        <v>#N/A</v>
      </c>
      <c r="Q19" s="131" t="e">
        <f>(P19*86400)-($P$23*86400)</f>
        <v>#N/A</v>
      </c>
    </row>
    <row r="20" spans="1:18" ht="12.75" customHeight="1" x14ac:dyDescent="0.3">
      <c r="A20" s="128"/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30" t="s">
        <v>177</v>
      </c>
      <c r="N20" s="131">
        <f>P33</f>
        <v>0</v>
      </c>
      <c r="P20" s="132" t="e">
        <f>G76</f>
        <v>#N/A</v>
      </c>
      <c r="Q20" s="131" t="e">
        <f>(P20*86400)-($P$23*86400)</f>
        <v>#N/A</v>
      </c>
    </row>
    <row r="21" spans="1:18" ht="12.75" customHeight="1" x14ac:dyDescent="0.3">
      <c r="A21" s="128"/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4" t="s">
        <v>183</v>
      </c>
      <c r="N21" s="124">
        <v>1</v>
      </c>
      <c r="P21" s="132" t="str">
        <f>G77</f>
        <v xml:space="preserve"> </v>
      </c>
      <c r="Q21" s="131" t="e">
        <f>(P21*86400)-($P$23*86400)</f>
        <v>#VALUE!</v>
      </c>
    </row>
    <row r="22" spans="1:18" ht="12.75" customHeight="1" x14ac:dyDescent="0.3">
      <c r="A22" s="128"/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4" t="s">
        <v>184</v>
      </c>
      <c r="N22" s="124">
        <v>0.5</v>
      </c>
      <c r="P22" s="132" t="str">
        <f>G78</f>
        <v xml:space="preserve"> </v>
      </c>
      <c r="Q22" s="131" t="e">
        <f>(P22*86400)-($P$23*86400)</f>
        <v>#VALUE!</v>
      </c>
    </row>
    <row r="23" spans="1:18" ht="12.75" customHeight="1" x14ac:dyDescent="0.3">
      <c r="A23" s="128"/>
      <c r="B23" s="128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30" t="s">
        <v>178</v>
      </c>
      <c r="N23" s="133">
        <f>'Event SetUp'!$I$12</f>
        <v>80</v>
      </c>
      <c r="P23" s="132" t="e">
        <f>G79</f>
        <v>#N/A</v>
      </c>
    </row>
    <row r="24" spans="1:18" ht="12.75" customHeight="1" x14ac:dyDescent="0.3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30" t="s">
        <v>179</v>
      </c>
      <c r="N24" s="133">
        <f>'Event SetUp'!$J$12</f>
        <v>140</v>
      </c>
    </row>
    <row r="25" spans="1:18" ht="12.75" customHeight="1" x14ac:dyDescent="0.3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4" t="s">
        <v>185</v>
      </c>
      <c r="N25" s="124">
        <v>5</v>
      </c>
    </row>
    <row r="26" spans="1:18" ht="12.75" customHeight="1" x14ac:dyDescent="0.3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4" t="s">
        <v>186</v>
      </c>
      <c r="N26" s="124">
        <v>1</v>
      </c>
    </row>
    <row r="27" spans="1:18" ht="12.75" customHeight="1" x14ac:dyDescent="0.3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</row>
    <row r="28" spans="1:18" ht="12.75" customHeight="1" x14ac:dyDescent="0.3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</row>
    <row r="29" spans="1:18" ht="12.75" customHeight="1" x14ac:dyDescent="0.3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</row>
    <row r="30" spans="1:18" ht="12.75" customHeight="1" x14ac:dyDescent="0.3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</row>
    <row r="31" spans="1:18" ht="12.75" customHeight="1" x14ac:dyDescent="0.3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N31" s="135" t="s">
        <v>281</v>
      </c>
      <c r="O31" s="135"/>
      <c r="P31" s="136" t="s">
        <v>282</v>
      </c>
      <c r="Q31" s="134"/>
    </row>
    <row r="32" spans="1:18" ht="12.75" customHeight="1" x14ac:dyDescent="0.3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N32" s="137" t="s">
        <v>283</v>
      </c>
      <c r="O32" s="138">
        <f t="array" ref="O32">MIN(IF(F46:F65&lt;&gt;0,F46:F65))</f>
        <v>0</v>
      </c>
      <c r="P32" s="138">
        <f>ROUND(O32-(O32*0.04),0)</f>
        <v>0</v>
      </c>
      <c r="Q32" s="138"/>
      <c r="R32" s="139" t="str">
        <f t="array" ref="R32">setChartAxis("Rpt-2","Chart 1","Min","Value","Primary",P32)</f>
        <v>Value Primary Min: 0</v>
      </c>
    </row>
    <row r="33" spans="1:19" ht="12.75" customHeight="1" x14ac:dyDescent="0.3">
      <c r="A33" s="128"/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N33" s="137" t="s">
        <v>284</v>
      </c>
      <c r="O33" s="138">
        <f t="array" ref="O33">MAX(IF(F46:F65&lt;&gt;0,F46:F65))</f>
        <v>0</v>
      </c>
      <c r="P33" s="138">
        <f>ROUND(O33+(O33*0.05),0)</f>
        <v>0</v>
      </c>
      <c r="Q33" s="138"/>
      <c r="R33" s="139" t="str">
        <f t="array" ref="R33">setChartAxis("Rpt-2","Chart 1","Max","Value","Primary",P33)</f>
        <v>Value Primary Max: 0</v>
      </c>
    </row>
    <row r="34" spans="1:19" ht="12.75" customHeight="1" x14ac:dyDescent="0.3">
      <c r="A34" s="128"/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N34" s="137" t="s">
        <v>283</v>
      </c>
      <c r="O34" s="138"/>
      <c r="P34" s="138">
        <f>N15</f>
        <v>0</v>
      </c>
      <c r="Q34" s="138"/>
      <c r="R34" s="139" t="str">
        <f t="array" ref="R34">setChartAxis("Rpt-2","Chart 1","Min","Category","Primary",P34)</f>
        <v>Category Primary Min: 0</v>
      </c>
    </row>
    <row r="35" spans="1:19" ht="12.75" customHeight="1" x14ac:dyDescent="0.3">
      <c r="A35" s="128"/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N35" s="137" t="s">
        <v>284</v>
      </c>
      <c r="O35" s="138"/>
      <c r="P35" s="138">
        <f>N16</f>
        <v>0</v>
      </c>
      <c r="Q35" s="138"/>
      <c r="R35" s="139" t="str">
        <f t="array" ref="R35">setChartAxis("Rpt-2","Chart 1","Max","Category","Primary",P35)</f>
        <v>Category Primary Max: 0</v>
      </c>
    </row>
    <row r="36" spans="1:19" ht="12.75" customHeight="1" x14ac:dyDescent="0.3">
      <c r="A36" s="128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N36" s="137" t="s">
        <v>283</v>
      </c>
      <c r="O36" s="138">
        <f t="array" ref="O36">MIN(IF(H46:H65&lt;&gt;0,H46:H65))</f>
        <v>0</v>
      </c>
      <c r="P36" s="138">
        <f>ROUND(O36-(O36*0.04),0)</f>
        <v>0</v>
      </c>
      <c r="Q36" s="138"/>
      <c r="R36" s="139" t="str">
        <f t="array" ref="R36">setChartAxis("Rpt-2","Chart 1","Min","Value","Secondary",P36)</f>
        <v>Value Secondary Min: 0</v>
      </c>
    </row>
    <row r="37" spans="1:19" ht="12.75" customHeight="1" x14ac:dyDescent="0.3">
      <c r="A37" s="128"/>
      <c r="B37" s="128"/>
      <c r="C37" s="128"/>
      <c r="D37" s="128"/>
      <c r="E37" s="128"/>
      <c r="F37" s="128"/>
      <c r="G37" s="128"/>
      <c r="H37" s="128"/>
      <c r="I37" s="128"/>
      <c r="J37" s="128"/>
      <c r="K37" s="128"/>
      <c r="L37" s="128"/>
      <c r="N37" s="137" t="s">
        <v>284</v>
      </c>
      <c r="O37" s="138">
        <f t="array" ref="O37">MAX(IF(H46:H65&lt;&gt;0,H46:H65))</f>
        <v>0</v>
      </c>
      <c r="P37" s="138">
        <f>ROUND(O37+(O37*0.05),0)</f>
        <v>0</v>
      </c>
      <c r="Q37" s="138"/>
      <c r="R37" s="139" t="str">
        <f>setChartAxis("Rpt-2","Chart 1","Max","Value","Secondary",P37)</f>
        <v>Value Secondary Max: 0</v>
      </c>
    </row>
    <row r="38" spans="1:19" ht="12.75" customHeight="1" x14ac:dyDescent="0.3">
      <c r="A38" s="128"/>
      <c r="B38" s="128"/>
      <c r="C38" s="128"/>
      <c r="D38" s="128"/>
      <c r="E38" s="128"/>
      <c r="F38" s="128"/>
      <c r="G38" s="128"/>
      <c r="H38" s="128"/>
      <c r="I38" s="128"/>
      <c r="J38" s="128"/>
      <c r="K38" s="128"/>
      <c r="L38" s="128"/>
    </row>
    <row r="39" spans="1:19" ht="12.75" customHeight="1" x14ac:dyDescent="0.3">
      <c r="A39" s="128"/>
      <c r="B39" s="128"/>
      <c r="C39" s="128"/>
      <c r="D39" s="128"/>
      <c r="E39" s="128"/>
      <c r="F39" s="128"/>
      <c r="G39" s="128"/>
      <c r="H39" s="128"/>
      <c r="I39" s="128"/>
      <c r="J39" s="128"/>
      <c r="K39" s="128"/>
      <c r="L39" s="128"/>
      <c r="N39" s="137" t="s">
        <v>283</v>
      </c>
      <c r="O39" s="138"/>
      <c r="P39" s="138">
        <f>MIN(P32,'Rpt-1'!$O$31)</f>
        <v>0</v>
      </c>
      <c r="Q39" s="138"/>
      <c r="R39" s="139" t="str">
        <f t="array" ref="R39">setChartAxis("Rpt-2","Chart 2","Min","Value","Primary",P39)</f>
        <v>Value Primary Min: 0</v>
      </c>
      <c r="S39" s="134"/>
    </row>
    <row r="40" spans="1:19" ht="12.75" customHeight="1" x14ac:dyDescent="0.3">
      <c r="A40" s="128"/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N40" s="137" t="s">
        <v>284</v>
      </c>
      <c r="O40" s="138"/>
      <c r="P40" s="138">
        <f>MAX(P33,'Rpt-1'!$O$32)</f>
        <v>20</v>
      </c>
      <c r="Q40" s="138"/>
      <c r="R40" s="139" t="str">
        <f t="array" ref="R40">setChartAxis("Rpt-2","Chart 2","Max","Value","Primary",P40)</f>
        <v>Value Primary Max: 20</v>
      </c>
      <c r="S40" s="134"/>
    </row>
    <row r="41" spans="1:19" ht="14.4" x14ac:dyDescent="0.3">
      <c r="A41" s="303" t="s">
        <v>288</v>
      </c>
      <c r="B41" s="303"/>
      <c r="C41" s="303"/>
      <c r="D41" s="303"/>
      <c r="E41" s="303"/>
      <c r="F41" s="303"/>
      <c r="G41" s="303"/>
      <c r="H41" s="303"/>
      <c r="I41" s="303"/>
      <c r="J41" s="303"/>
      <c r="K41" s="303"/>
      <c r="L41" s="128"/>
      <c r="N41" s="137" t="s">
        <v>283</v>
      </c>
      <c r="O41" s="138"/>
      <c r="P41" s="138">
        <f>N15</f>
        <v>0</v>
      </c>
      <c r="Q41" s="138"/>
      <c r="R41" s="139" t="str">
        <f t="array" ref="R41">setChartAxis("Rpt-2","Chart 2","Min","Category","Primary",P41)</f>
        <v>Category Primary Min: 0</v>
      </c>
      <c r="S41" s="134"/>
    </row>
    <row r="42" spans="1:19" ht="6" customHeight="1" x14ac:dyDescent="0.3">
      <c r="K42" s="128"/>
      <c r="N42" s="137" t="s">
        <v>284</v>
      </c>
      <c r="O42" s="138"/>
      <c r="P42" s="138">
        <f>N16</f>
        <v>0</v>
      </c>
      <c r="Q42" s="138"/>
      <c r="R42" s="139" t="str">
        <f t="array" ref="R42">setChartAxis("Rpt-2","Chart 2","Max","Category","Primary",P42)</f>
        <v>Category Primary Max: 0</v>
      </c>
      <c r="S42" s="134"/>
    </row>
    <row r="43" spans="1:19" ht="12.75" customHeight="1" x14ac:dyDescent="0.3">
      <c r="B43" s="321" t="s">
        <v>139</v>
      </c>
      <c r="C43" s="323" t="s">
        <v>140</v>
      </c>
      <c r="D43" s="325" t="s">
        <v>141</v>
      </c>
      <c r="E43" s="214"/>
      <c r="F43" s="325" t="s">
        <v>143</v>
      </c>
      <c r="G43" s="325" t="str">
        <f>CONCATENATE(B65," ", "m ", " ", "Pace")</f>
        <v>0 m  Pace</v>
      </c>
      <c r="H43" s="325" t="s">
        <v>142</v>
      </c>
      <c r="I43" s="325" t="str">
        <f>IF(B65=200," ","eWPS")</f>
        <v>eWPS</v>
      </c>
      <c r="J43" s="325" t="s">
        <v>154</v>
      </c>
      <c r="K43" s="128"/>
    </row>
    <row r="44" spans="1:19" ht="12.75" customHeight="1" x14ac:dyDescent="0.3">
      <c r="B44" s="322"/>
      <c r="C44" s="324"/>
      <c r="D44" s="326"/>
      <c r="E44" s="215"/>
      <c r="F44" s="326"/>
      <c r="G44" s="326"/>
      <c r="H44" s="326"/>
      <c r="I44" s="326"/>
      <c r="J44" s="326"/>
      <c r="N44" s="137" t="s">
        <v>283</v>
      </c>
      <c r="O44" s="138"/>
      <c r="P44" s="138">
        <f>MIN(P36,'Rpt-1'!$O$35)</f>
        <v>0</v>
      </c>
      <c r="Q44" s="138"/>
      <c r="R44" s="139" t="str">
        <f t="array" ref="R44">setChartAxis("Rpt-2","Chart 3","Min","Value","Primary",P44)</f>
        <v>Value Primary Min: 0</v>
      </c>
      <c r="S44" s="134"/>
    </row>
    <row r="45" spans="1:19" ht="12.75" customHeight="1" x14ac:dyDescent="0.3">
      <c r="B45" s="216">
        <v>0</v>
      </c>
      <c r="C45" s="217">
        <v>0</v>
      </c>
      <c r="D45" s="218">
        <v>0</v>
      </c>
      <c r="E45" s="218"/>
      <c r="F45" s="218">
        <v>0</v>
      </c>
      <c r="G45" s="218">
        <v>0</v>
      </c>
      <c r="H45" s="218">
        <v>0</v>
      </c>
      <c r="I45" s="218"/>
      <c r="J45" s="219"/>
      <c r="K45" s="128"/>
      <c r="N45" s="137" t="s">
        <v>284</v>
      </c>
      <c r="O45" s="138"/>
      <c r="P45" s="138">
        <f>MAX(P37,'Rpt-1'!$O$36)</f>
        <v>150</v>
      </c>
      <c r="Q45" s="138"/>
      <c r="R45" s="139" t="str">
        <f t="array" ref="R45">setChartAxis("Rpt-2","Chart 3","Max","Value","Primary",P45)</f>
        <v>Value Primary Max: 150</v>
      </c>
      <c r="S45" s="134"/>
    </row>
    <row r="46" spans="1:19" ht="12.75" customHeight="1" x14ac:dyDescent="0.3">
      <c r="B46" s="205">
        <f>'2'!J38</f>
        <v>0</v>
      </c>
      <c r="C46" s="49">
        <f>IF('2'!K38&gt;1, ('2'!K38/86400), '2'!K38)</f>
        <v>0</v>
      </c>
      <c r="D46" s="50">
        <f>'2'!L38</f>
        <v>0</v>
      </c>
      <c r="E46" s="50"/>
      <c r="F46" s="51">
        <f>'2'!M38*3.6</f>
        <v>0</v>
      </c>
      <c r="G46" s="49" t="e">
        <f t="shared" ref="G46:G65" si="0">(D46*(B$65/$B$46)/86400)</f>
        <v>#DIV/0!</v>
      </c>
      <c r="H46" s="52">
        <f>'2'!N38</f>
        <v>0</v>
      </c>
      <c r="I46" s="51" t="e">
        <f>IF('2'!M38=200, " ",('2'!M38^3)/(H46/60))</f>
        <v>#DIV/0!</v>
      </c>
      <c r="J46" s="206" t="e">
        <f>'2'!M38/(H46/60)</f>
        <v>#DIV/0!</v>
      </c>
      <c r="K46" s="128"/>
      <c r="N46" s="137" t="s">
        <v>283</v>
      </c>
      <c r="O46" s="138"/>
      <c r="P46" s="138">
        <f>N15</f>
        <v>0</v>
      </c>
      <c r="Q46" s="138"/>
      <c r="R46" s="139" t="str">
        <f t="array" ref="R46">setChartAxis("Rpt-2","Chart 3","Min","Category","Primary",P46)</f>
        <v>Category Primary Min: 0</v>
      </c>
      <c r="S46" s="134"/>
    </row>
    <row r="47" spans="1:19" ht="12.75" customHeight="1" x14ac:dyDescent="0.3">
      <c r="B47" s="205">
        <f>'2'!J39</f>
        <v>0</v>
      </c>
      <c r="C47" s="49">
        <f>IF('2'!K39&gt;1, ('2'!K39/86400), '2'!K39)</f>
        <v>0</v>
      </c>
      <c r="D47" s="50">
        <f>'2'!L39</f>
        <v>0</v>
      </c>
      <c r="E47" s="50"/>
      <c r="F47" s="51">
        <f>'2'!M39*3.6</f>
        <v>0</v>
      </c>
      <c r="G47" s="49" t="e">
        <f t="shared" si="0"/>
        <v>#DIV/0!</v>
      </c>
      <c r="H47" s="52">
        <f>'2'!N39</f>
        <v>0</v>
      </c>
      <c r="I47" s="51" t="e">
        <f>IF('2'!M39=200, " ",('2'!M39^3)/(H47/60))</f>
        <v>#DIV/0!</v>
      </c>
      <c r="J47" s="206" t="e">
        <f>'2'!M39/(H47/60)</f>
        <v>#DIV/0!</v>
      </c>
      <c r="K47" s="200"/>
      <c r="N47" s="137" t="s">
        <v>284</v>
      </c>
      <c r="O47" s="138"/>
      <c r="P47" s="138">
        <f>N16</f>
        <v>0</v>
      </c>
      <c r="Q47" s="138"/>
      <c r="R47" s="139" t="str">
        <f t="array" ref="R47">setChartAxis("Rpt-2","Chart 3","Max","Category","Primary",P47)</f>
        <v>Category Primary Max: 0</v>
      </c>
      <c r="S47" s="134"/>
    </row>
    <row r="48" spans="1:19" ht="12.75" customHeight="1" x14ac:dyDescent="0.3">
      <c r="B48" s="205">
        <f>'2'!J40</f>
        <v>0</v>
      </c>
      <c r="C48" s="49">
        <f>IF('2'!K40&gt;1, ('2'!K40/86400), '2'!K40)</f>
        <v>0</v>
      </c>
      <c r="D48" s="50">
        <f>'2'!L40</f>
        <v>0</v>
      </c>
      <c r="E48" s="50"/>
      <c r="F48" s="51">
        <f>'2'!M40*3.6</f>
        <v>0</v>
      </c>
      <c r="G48" s="49" t="e">
        <f t="shared" si="0"/>
        <v>#DIV/0!</v>
      </c>
      <c r="H48" s="52">
        <f>'2'!N40</f>
        <v>0</v>
      </c>
      <c r="I48" s="51" t="e">
        <f>IF('2'!M40=200, " ",('2'!M40^3)/(H48/60))</f>
        <v>#DIV/0!</v>
      </c>
      <c r="J48" s="206" t="e">
        <f>'2'!M40/(H48/60)</f>
        <v>#DIV/0!</v>
      </c>
      <c r="K48" s="200"/>
    </row>
    <row r="49" spans="1:20" ht="12.75" customHeight="1" x14ac:dyDescent="0.3">
      <c r="B49" s="205">
        <f>'2'!J41</f>
        <v>0</v>
      </c>
      <c r="C49" s="49">
        <f>IF('2'!K41&gt;1, ('2'!K41/86400), '2'!K41)</f>
        <v>0</v>
      </c>
      <c r="D49" s="50">
        <f>'2'!L41</f>
        <v>0</v>
      </c>
      <c r="E49" s="50"/>
      <c r="F49" s="51">
        <f>'2'!M41*3.6</f>
        <v>0</v>
      </c>
      <c r="G49" s="49" t="e">
        <f t="shared" si="0"/>
        <v>#DIV/0!</v>
      </c>
      <c r="H49" s="52">
        <f>'2'!N41</f>
        <v>0</v>
      </c>
      <c r="I49" s="51" t="e">
        <f>IF('2'!M41=200, " ",('2'!M41^3)/(H49/60))</f>
        <v>#DIV/0!</v>
      </c>
      <c r="J49" s="206" t="e">
        <f>'2'!M41/(H49/60)</f>
        <v>#DIV/0!</v>
      </c>
      <c r="K49" s="201"/>
      <c r="N49" s="137" t="s">
        <v>283</v>
      </c>
      <c r="O49" s="138" t="e">
        <f t="array" ref="O49">MIN(IF(I46:I65&lt;&gt;0,I46:I65))</f>
        <v>#DIV/0!</v>
      </c>
      <c r="P49" s="138" t="e">
        <f>ROUND(O49-(O49*0.04),0)</f>
        <v>#DIV/0!</v>
      </c>
      <c r="Q49" s="138" t="e">
        <f>MIN(P49,'Rpt-1'!$O$51)</f>
        <v>#DIV/0!</v>
      </c>
      <c r="R49" s="139" t="str">
        <f>setChartAxis("Rpt-2","Chart 4","Min","Value","Primary",Q49)</f>
        <v>Value Primary Min: Auto</v>
      </c>
      <c r="S49" s="134"/>
    </row>
    <row r="50" spans="1:20" ht="12.75" customHeight="1" x14ac:dyDescent="0.3">
      <c r="B50" s="207">
        <f>'2'!J42</f>
        <v>0</v>
      </c>
      <c r="C50" s="208">
        <f>IF('2'!K42&gt;1, ('2'!K42/86400), '2'!K42)</f>
        <v>0</v>
      </c>
      <c r="D50" s="209">
        <f>'2'!L42</f>
        <v>0</v>
      </c>
      <c r="E50" s="210">
        <f>SUM(D45:D50)/86400</f>
        <v>0</v>
      </c>
      <c r="F50" s="211">
        <f>'2'!M42*3.6</f>
        <v>0</v>
      </c>
      <c r="G50" s="208" t="e">
        <f t="shared" si="0"/>
        <v>#DIV/0!</v>
      </c>
      <c r="H50" s="212">
        <f>'2'!N42</f>
        <v>0</v>
      </c>
      <c r="I50" s="211" t="e">
        <f>IF('2'!M42=200, " ",('2'!M42^3)/(H50/60))</f>
        <v>#DIV/0!</v>
      </c>
      <c r="J50" s="213" t="e">
        <f>'2'!M42/(H50/60)</f>
        <v>#DIV/0!</v>
      </c>
      <c r="K50" s="201"/>
      <c r="N50" s="137" t="s">
        <v>284</v>
      </c>
      <c r="O50" s="138" t="e">
        <f t="array" ref="O50">MAX(IF(I46:I65&lt;&gt;0,I46:I65))</f>
        <v>#DIV/0!</v>
      </c>
      <c r="P50" s="138" t="e">
        <f>ROUND(O50+(O50*0.04),0)</f>
        <v>#DIV/0!</v>
      </c>
      <c r="Q50" s="138" t="e">
        <f>MAX(P50,'Rpt-1'!$O$51)</f>
        <v>#DIV/0!</v>
      </c>
      <c r="R50" s="139" t="str">
        <f>setChartAxis("Rpt-2","Chart 4","Max","Value","Primary",Q50)</f>
        <v>Value Primary Max: Auto</v>
      </c>
      <c r="S50" s="134"/>
    </row>
    <row r="51" spans="1:20" ht="12.75" customHeight="1" x14ac:dyDescent="0.3">
      <c r="B51" s="220">
        <f>'2'!J43</f>
        <v>0</v>
      </c>
      <c r="C51" s="221">
        <f>IF('2'!K43&gt;1, ('2'!K43/86400), '2'!K43)</f>
        <v>0</v>
      </c>
      <c r="D51" s="222">
        <f>'2'!L43</f>
        <v>0</v>
      </c>
      <c r="E51" s="222"/>
      <c r="F51" s="223">
        <f>'2'!M43*3.6</f>
        <v>0</v>
      </c>
      <c r="G51" s="221" t="e">
        <f t="shared" si="0"/>
        <v>#DIV/0!</v>
      </c>
      <c r="H51" s="224">
        <f>'2'!N43</f>
        <v>0</v>
      </c>
      <c r="I51" s="223" t="e">
        <f>IF('2'!M43=200, " ",('2'!M43^3)/(H51/60))</f>
        <v>#DIV/0!</v>
      </c>
      <c r="J51" s="225" t="e">
        <f>'2'!M43/(H51/60)</f>
        <v>#DIV/0!</v>
      </c>
      <c r="K51" s="201"/>
      <c r="N51" s="137" t="s">
        <v>283</v>
      </c>
      <c r="O51" s="138"/>
      <c r="P51" s="138">
        <f>N15</f>
        <v>0</v>
      </c>
      <c r="Q51" s="138"/>
      <c r="R51" s="139" t="str">
        <f t="array" ref="R51">setChartAxis("Rpt-2","Chart 4","Min","Category","Primary",P51)</f>
        <v>Category Primary Min: 0</v>
      </c>
      <c r="S51" s="134"/>
    </row>
    <row r="52" spans="1:20" ht="12.75" customHeight="1" x14ac:dyDescent="0.3">
      <c r="B52" s="205">
        <f>'2'!J44</f>
        <v>0</v>
      </c>
      <c r="C52" s="49">
        <f>IF('2'!K44&gt;1, ('2'!K44/86400), '2'!K44)</f>
        <v>0</v>
      </c>
      <c r="D52" s="50">
        <f>'2'!L44</f>
        <v>0</v>
      </c>
      <c r="E52" s="50"/>
      <c r="F52" s="51">
        <f>'2'!M44*3.6</f>
        <v>0</v>
      </c>
      <c r="G52" s="49" t="e">
        <f t="shared" si="0"/>
        <v>#DIV/0!</v>
      </c>
      <c r="H52" s="52">
        <f>'2'!N44</f>
        <v>0</v>
      </c>
      <c r="I52" s="51" t="e">
        <f>IF('2'!M44=200, " ",('2'!M44^3)/(H52/60))</f>
        <v>#DIV/0!</v>
      </c>
      <c r="J52" s="206" t="e">
        <f>'2'!M44/(H52/60)</f>
        <v>#DIV/0!</v>
      </c>
      <c r="K52" s="201"/>
      <c r="N52" s="137" t="s">
        <v>284</v>
      </c>
      <c r="O52" s="138"/>
      <c r="P52" s="138">
        <f>N16</f>
        <v>0</v>
      </c>
      <c r="Q52" s="138"/>
      <c r="R52" s="139" t="str">
        <f t="array" ref="R52">setChartAxis("Rpt-2","Chart 4","Max","Category","Primary",P52)</f>
        <v>Category Primary Max: 0</v>
      </c>
      <c r="S52" s="134"/>
    </row>
    <row r="53" spans="1:20" ht="12.75" customHeight="1" x14ac:dyDescent="0.3">
      <c r="B53" s="205">
        <f>'2'!J45</f>
        <v>0</v>
      </c>
      <c r="C53" s="49">
        <f>IF('2'!K45&gt;1, ('2'!K45/86400), '2'!K45)</f>
        <v>0</v>
      </c>
      <c r="D53" s="50">
        <f>'2'!L45</f>
        <v>0</v>
      </c>
      <c r="E53" s="50"/>
      <c r="F53" s="51">
        <f>'2'!M45*3.6</f>
        <v>0</v>
      </c>
      <c r="G53" s="49" t="e">
        <f t="shared" si="0"/>
        <v>#DIV/0!</v>
      </c>
      <c r="H53" s="52">
        <f>'2'!N45</f>
        <v>0</v>
      </c>
      <c r="I53" s="51" t="e">
        <f>IF('2'!M45=200, " ",('2'!M45^3)/(H53/60))</f>
        <v>#DIV/0!</v>
      </c>
      <c r="J53" s="206" t="e">
        <f>'2'!M45/(H53/60)</f>
        <v>#DIV/0!</v>
      </c>
      <c r="K53" s="201"/>
    </row>
    <row r="54" spans="1:20" ht="12.75" customHeight="1" x14ac:dyDescent="0.3">
      <c r="B54" s="205">
        <f>'2'!J46</f>
        <v>0</v>
      </c>
      <c r="C54" s="49">
        <f>IF('2'!K46&gt;1, ('2'!K46/86400), '2'!K46)</f>
        <v>0</v>
      </c>
      <c r="D54" s="50">
        <f>'2'!L46</f>
        <v>0</v>
      </c>
      <c r="E54" s="50"/>
      <c r="F54" s="51">
        <f>'2'!M46*3.6</f>
        <v>0</v>
      </c>
      <c r="G54" s="49" t="e">
        <f t="shared" si="0"/>
        <v>#DIV/0!</v>
      </c>
      <c r="H54" s="52">
        <f>'2'!N46</f>
        <v>0</v>
      </c>
      <c r="I54" s="51" t="e">
        <f>IF('2'!M46=200, " ",('2'!M46^3)/(H54/60))</f>
        <v>#DIV/0!</v>
      </c>
      <c r="J54" s="206" t="e">
        <f>'2'!M46/(H54/60)</f>
        <v>#DIV/0!</v>
      </c>
      <c r="K54" s="201"/>
      <c r="N54" s="137" t="s">
        <v>283</v>
      </c>
      <c r="O54" s="138"/>
      <c r="P54" s="138">
        <f>N15</f>
        <v>0</v>
      </c>
      <c r="Q54" s="138"/>
      <c r="R54" s="139" t="str">
        <f>setChartAxis("Rpt-2","Chart 5","Min","Category","Primary",P54)</f>
        <v>Category Primary Min: 0</v>
      </c>
      <c r="S54" s="134"/>
    </row>
    <row r="55" spans="1:20" ht="12.75" customHeight="1" x14ac:dyDescent="0.3">
      <c r="B55" s="207">
        <f>'2'!J47</f>
        <v>0</v>
      </c>
      <c r="C55" s="208">
        <f>IF('2'!K47&gt;1, ('2'!K47/86400), '2'!K47)</f>
        <v>0</v>
      </c>
      <c r="D55" s="209">
        <f>'2'!L47</f>
        <v>0</v>
      </c>
      <c r="E55" s="210">
        <f>SUM(D51:D55)/86400</f>
        <v>0</v>
      </c>
      <c r="F55" s="211">
        <f>'2'!M47*3.6</f>
        <v>0</v>
      </c>
      <c r="G55" s="208" t="e">
        <f t="shared" si="0"/>
        <v>#DIV/0!</v>
      </c>
      <c r="H55" s="212">
        <f>'2'!N47</f>
        <v>0</v>
      </c>
      <c r="I55" s="211" t="e">
        <f>IF('2'!M47=200, " ",('2'!M47^3)/(H55/60))</f>
        <v>#DIV/0!</v>
      </c>
      <c r="J55" s="213" t="e">
        <f>'2'!M47/(H55/60)</f>
        <v>#DIV/0!</v>
      </c>
      <c r="K55" s="201"/>
      <c r="N55" s="137" t="s">
        <v>284</v>
      </c>
      <c r="O55" s="138"/>
      <c r="P55" s="138">
        <f>N16</f>
        <v>0</v>
      </c>
      <c r="Q55" s="138"/>
      <c r="R55" s="139" t="str">
        <f>setChartAxis("Rpt-2","Chart 5","Max","Category","Primary",P55)</f>
        <v>Category Primary Max: 0</v>
      </c>
      <c r="S55" s="134"/>
    </row>
    <row r="56" spans="1:20" ht="12.75" customHeight="1" x14ac:dyDescent="0.3">
      <c r="B56" s="220">
        <f>'2'!J48</f>
        <v>0</v>
      </c>
      <c r="C56" s="221">
        <f>IF('2'!K48&gt;1, ('2'!K48/86400), '2'!K48)</f>
        <v>0</v>
      </c>
      <c r="D56" s="222">
        <f>'2'!L48</f>
        <v>0</v>
      </c>
      <c r="E56" s="222"/>
      <c r="F56" s="223">
        <f>'2'!M48*3.6</f>
        <v>0</v>
      </c>
      <c r="G56" s="221" t="e">
        <f t="shared" si="0"/>
        <v>#DIV/0!</v>
      </c>
      <c r="H56" s="224">
        <f>'2'!N48</f>
        <v>0</v>
      </c>
      <c r="I56" s="223" t="e">
        <f>IF('2'!M48=200, " ",('2'!M48^3)/(H56/60))</f>
        <v>#DIV/0!</v>
      </c>
      <c r="J56" s="225" t="e">
        <f>'2'!M48/(H56/60)</f>
        <v>#DIV/0!</v>
      </c>
      <c r="K56" s="201"/>
    </row>
    <row r="57" spans="1:20" ht="12.75" customHeight="1" x14ac:dyDescent="0.3">
      <c r="B57" s="205">
        <f>'2'!J49</f>
        <v>0</v>
      </c>
      <c r="C57" s="49">
        <f>IF('2'!K49&gt;1, ('2'!K49/86400), '2'!K49)</f>
        <v>0</v>
      </c>
      <c r="D57" s="50">
        <f>'2'!L49</f>
        <v>0</v>
      </c>
      <c r="E57" s="50"/>
      <c r="F57" s="51">
        <f>'2'!M49*3.6</f>
        <v>0</v>
      </c>
      <c r="G57" s="49" t="e">
        <f t="shared" si="0"/>
        <v>#DIV/0!</v>
      </c>
      <c r="H57" s="52">
        <f>'2'!N49</f>
        <v>0</v>
      </c>
      <c r="I57" s="51" t="e">
        <f>IF('2'!M49=200, " ",('2'!M49^3)/(H57/60))</f>
        <v>#DIV/0!</v>
      </c>
      <c r="J57" s="206" t="e">
        <f>'2'!M49/(H57/60)</f>
        <v>#DIV/0!</v>
      </c>
      <c r="K57" s="201"/>
      <c r="N57" s="137"/>
      <c r="O57" s="138"/>
      <c r="P57" s="138"/>
      <c r="Q57" s="138"/>
      <c r="R57" s="139"/>
      <c r="S57" s="134"/>
    </row>
    <row r="58" spans="1:20" ht="12.75" customHeight="1" x14ac:dyDescent="0.3">
      <c r="B58" s="205">
        <f>'2'!J50</f>
        <v>0</v>
      </c>
      <c r="C58" s="49">
        <f>IF('2'!K50&gt;1, ('2'!K50/86400), '2'!K50)</f>
        <v>0</v>
      </c>
      <c r="D58" s="50">
        <f>'2'!L50</f>
        <v>0</v>
      </c>
      <c r="E58" s="50"/>
      <c r="F58" s="51">
        <f>'2'!M50*3.6</f>
        <v>0</v>
      </c>
      <c r="G58" s="49" t="e">
        <f t="shared" si="0"/>
        <v>#DIV/0!</v>
      </c>
      <c r="H58" s="52">
        <f>'2'!N50</f>
        <v>0</v>
      </c>
      <c r="I58" s="51" t="e">
        <f>IF('2'!M50=200, " ",('2'!M50^3)/(H58/60))</f>
        <v>#DIV/0!</v>
      </c>
      <c r="J58" s="206" t="e">
        <f>'2'!M50/(H58/60)</f>
        <v>#DIV/0!</v>
      </c>
      <c r="K58" s="201"/>
      <c r="N58" s="137"/>
      <c r="O58" s="138"/>
      <c r="P58" s="138"/>
      <c r="Q58" s="138"/>
      <c r="R58" s="139"/>
      <c r="S58" s="134"/>
    </row>
    <row r="59" spans="1:20" ht="12.75" customHeight="1" x14ac:dyDescent="0.3">
      <c r="B59" s="205">
        <f>'2'!J51</f>
        <v>0</v>
      </c>
      <c r="C59" s="49">
        <f>IF('2'!K51&gt;1, ('2'!K51/86400), '2'!K51)</f>
        <v>0</v>
      </c>
      <c r="D59" s="50">
        <f>'2'!L51</f>
        <v>0</v>
      </c>
      <c r="E59" s="50"/>
      <c r="F59" s="51">
        <f>'2'!M51*3.6</f>
        <v>0</v>
      </c>
      <c r="G59" s="49" t="e">
        <f t="shared" si="0"/>
        <v>#DIV/0!</v>
      </c>
      <c r="H59" s="52">
        <f>'2'!N51</f>
        <v>0</v>
      </c>
      <c r="I59" s="51" t="e">
        <f>IF('2'!M51=200, " ",('2'!M51^3)/(H59/60))</f>
        <v>#DIV/0!</v>
      </c>
      <c r="J59" s="206" t="e">
        <f>'2'!M51/(H59/60)</f>
        <v>#DIV/0!</v>
      </c>
      <c r="K59" s="201"/>
      <c r="N59" s="137" t="s">
        <v>283</v>
      </c>
      <c r="O59" s="138"/>
      <c r="P59" s="138">
        <f>N15</f>
        <v>0</v>
      </c>
      <c r="Q59" s="138"/>
      <c r="R59" s="139" t="str">
        <f>setChartAxis("Rpt-2","Chart 6","Min","Category","Primary",P59)</f>
        <v>Category Primary Min: 0</v>
      </c>
      <c r="S59" s="134"/>
    </row>
    <row r="60" spans="1:20" ht="12.75" customHeight="1" x14ac:dyDescent="0.3">
      <c r="B60" s="207">
        <f>'2'!J52</f>
        <v>0</v>
      </c>
      <c r="C60" s="208">
        <f>IF('2'!K52&gt;1, ('2'!K52/86400), '2'!K52)</f>
        <v>0</v>
      </c>
      <c r="D60" s="209">
        <f>'2'!L52</f>
        <v>0</v>
      </c>
      <c r="E60" s="210">
        <f>SUM(D56:D60)/86400</f>
        <v>0</v>
      </c>
      <c r="F60" s="211">
        <f>'2'!M52*3.6</f>
        <v>0</v>
      </c>
      <c r="G60" s="208" t="e">
        <f t="shared" si="0"/>
        <v>#DIV/0!</v>
      </c>
      <c r="H60" s="212">
        <f>'2'!N52</f>
        <v>0</v>
      </c>
      <c r="I60" s="211" t="e">
        <f>IF('2'!M52=200, " ",('2'!M52^3)/(H60/60))</f>
        <v>#DIV/0!</v>
      </c>
      <c r="J60" s="213" t="e">
        <f>'2'!M52/(H60/60)</f>
        <v>#DIV/0!</v>
      </c>
      <c r="K60" s="201"/>
      <c r="N60" s="137" t="s">
        <v>284</v>
      </c>
      <c r="O60" s="138"/>
      <c r="P60" s="138">
        <f>N16</f>
        <v>0</v>
      </c>
      <c r="Q60" s="138"/>
      <c r="R60" s="139" t="str">
        <f>setChartAxis("Rpt-2","Chart 6","Max","Category","Primary",P60)</f>
        <v>Category Primary Max: 0</v>
      </c>
      <c r="S60" s="134"/>
    </row>
    <row r="61" spans="1:20" ht="12.75" customHeight="1" x14ac:dyDescent="0.3">
      <c r="B61" s="220">
        <f>'2'!J53</f>
        <v>0</v>
      </c>
      <c r="C61" s="221">
        <f>IF('2'!K53&gt;1, ('2'!K53/86400), '2'!K53)</f>
        <v>0</v>
      </c>
      <c r="D61" s="222">
        <f>'2'!L53</f>
        <v>0</v>
      </c>
      <c r="E61" s="222"/>
      <c r="F61" s="223">
        <f>'2'!M53*3.6</f>
        <v>0</v>
      </c>
      <c r="G61" s="221" t="e">
        <f t="shared" si="0"/>
        <v>#DIV/0!</v>
      </c>
      <c r="H61" s="224">
        <f>'2'!N53</f>
        <v>0</v>
      </c>
      <c r="I61" s="223" t="e">
        <f>IF('2'!M53=200, " ",('2'!M53^3)/(H61/60))</f>
        <v>#DIV/0!</v>
      </c>
      <c r="J61" s="225" t="e">
        <f>'2'!M53/(H61/60)</f>
        <v>#DIV/0!</v>
      </c>
      <c r="K61" s="201"/>
      <c r="M61" s="134"/>
      <c r="S61" s="134"/>
      <c r="T61" s="134"/>
    </row>
    <row r="62" spans="1:20" ht="12.75" customHeight="1" x14ac:dyDescent="0.3">
      <c r="B62" s="205">
        <f>'2'!J54</f>
        <v>0</v>
      </c>
      <c r="C62" s="49">
        <f>IF('2'!K54&gt;1, ('2'!K54/86400), '2'!K54)</f>
        <v>0</v>
      </c>
      <c r="D62" s="50">
        <f>'2'!L54</f>
        <v>0</v>
      </c>
      <c r="E62" s="50"/>
      <c r="F62" s="51">
        <f>'2'!M54*3.6</f>
        <v>0</v>
      </c>
      <c r="G62" s="49" t="e">
        <f t="shared" si="0"/>
        <v>#DIV/0!</v>
      </c>
      <c r="H62" s="52">
        <f>'2'!N54</f>
        <v>0</v>
      </c>
      <c r="I62" s="51" t="e">
        <f>IF('2'!M54=200, " ",('2'!M54^3)/(H62/60))</f>
        <v>#DIV/0!</v>
      </c>
      <c r="J62" s="206" t="e">
        <f>'2'!M54/(H62/60)</f>
        <v>#DIV/0!</v>
      </c>
      <c r="K62" s="201"/>
      <c r="M62" s="134"/>
      <c r="N62" s="137"/>
      <c r="O62" s="138"/>
      <c r="P62" s="138"/>
      <c r="Q62" s="138"/>
      <c r="R62" s="139"/>
      <c r="S62" s="134"/>
      <c r="T62" s="134"/>
    </row>
    <row r="63" spans="1:20" ht="12.75" customHeight="1" x14ac:dyDescent="0.3">
      <c r="B63" s="205">
        <f>'2'!J55</f>
        <v>0</v>
      </c>
      <c r="C63" s="49">
        <f>IF('2'!K55&gt;1, ('2'!K55/86400), '2'!K55)</f>
        <v>0</v>
      </c>
      <c r="D63" s="50">
        <f>'2'!L55</f>
        <v>0</v>
      </c>
      <c r="E63" s="50"/>
      <c r="F63" s="51">
        <f>'2'!M55*3.6</f>
        <v>0</v>
      </c>
      <c r="G63" s="49" t="e">
        <f t="shared" si="0"/>
        <v>#DIV/0!</v>
      </c>
      <c r="H63" s="52">
        <f>'2'!N55</f>
        <v>0</v>
      </c>
      <c r="I63" s="51" t="e">
        <f>IF('2'!M55=200, " ",('2'!M55^3)/(H63/60))</f>
        <v>#DIV/0!</v>
      </c>
      <c r="J63" s="206" t="e">
        <f>'2'!M55/(H63/60)</f>
        <v>#DIV/0!</v>
      </c>
      <c r="K63" s="201"/>
      <c r="M63" s="134"/>
      <c r="N63" s="137"/>
      <c r="O63" s="138"/>
      <c r="P63" s="138"/>
      <c r="Q63" s="138"/>
      <c r="R63" s="139"/>
      <c r="S63" s="134"/>
      <c r="T63" s="134"/>
    </row>
    <row r="64" spans="1:20" ht="12.75" customHeight="1" x14ac:dyDescent="0.3">
      <c r="A64" s="199"/>
      <c r="B64" s="205">
        <f>'2'!J56</f>
        <v>0</v>
      </c>
      <c r="C64" s="49">
        <f>IF('2'!K56&gt;1, ('2'!K56/86400), '2'!K56)</f>
        <v>0</v>
      </c>
      <c r="D64" s="50">
        <f>'2'!L56</f>
        <v>0</v>
      </c>
      <c r="E64" s="50"/>
      <c r="F64" s="51">
        <f>'2'!M56*3.6</f>
        <v>0</v>
      </c>
      <c r="G64" s="49" t="e">
        <f t="shared" si="0"/>
        <v>#DIV/0!</v>
      </c>
      <c r="H64" s="52">
        <f>'2'!N56</f>
        <v>0</v>
      </c>
      <c r="I64" s="51" t="e">
        <f>IF('2'!M56=200, " ",('2'!M56^3)/(H64/60))</f>
        <v>#DIV/0!</v>
      </c>
      <c r="J64" s="206" t="e">
        <f>'2'!M56/(H64/60)</f>
        <v>#DIV/0!</v>
      </c>
      <c r="K64" s="201"/>
      <c r="M64" s="134"/>
      <c r="N64" s="137" t="s">
        <v>283</v>
      </c>
      <c r="O64" s="138"/>
      <c r="P64" s="138">
        <f>N15</f>
        <v>0</v>
      </c>
      <c r="Q64" s="138"/>
      <c r="R64" s="139" t="str">
        <f>setChartAxis("Rpt-2","Chart 7","Min","Category","Primary",P64)</f>
        <v>Category Primary Min: 0</v>
      </c>
      <c r="S64" s="134"/>
      <c r="T64" s="134"/>
    </row>
    <row r="65" spans="1:19" ht="12.75" customHeight="1" x14ac:dyDescent="0.3">
      <c r="A65" s="199"/>
      <c r="B65" s="207">
        <f>'2'!J57</f>
        <v>0</v>
      </c>
      <c r="C65" s="208">
        <f>IF('2'!K57&gt;1, ('2'!K57/86400), '2'!K57)</f>
        <v>0</v>
      </c>
      <c r="D65" s="209">
        <f>'2'!L57</f>
        <v>0</v>
      </c>
      <c r="E65" s="210">
        <f>SUM(D61:D65)/86400</f>
        <v>0</v>
      </c>
      <c r="F65" s="211">
        <f>'2'!M57*3.6</f>
        <v>0</v>
      </c>
      <c r="G65" s="208" t="e">
        <f t="shared" si="0"/>
        <v>#DIV/0!</v>
      </c>
      <c r="H65" s="212">
        <f>'2'!N57</f>
        <v>0</v>
      </c>
      <c r="I65" s="211" t="e">
        <f>IF('2'!M57=200, " ",('2'!M57^3)/(H65/60))</f>
        <v>#DIV/0!</v>
      </c>
      <c r="J65" s="213" t="e">
        <f>'2'!M57/(H65/60)</f>
        <v>#DIV/0!</v>
      </c>
      <c r="K65" s="201"/>
      <c r="N65" s="137" t="s">
        <v>284</v>
      </c>
      <c r="O65" s="138"/>
      <c r="P65" s="138">
        <f>N16</f>
        <v>0</v>
      </c>
      <c r="Q65" s="138"/>
      <c r="R65" s="139" t="str">
        <f>setChartAxis("Rpt-2","Chart 7","Max","Category","Primary",P65)</f>
        <v>Category Primary Max: 0</v>
      </c>
      <c r="S65" s="134"/>
    </row>
    <row r="66" spans="1:19" ht="12.75" customHeight="1" x14ac:dyDescent="0.3">
      <c r="A66" s="200"/>
      <c r="B66" s="226" t="s">
        <v>153</v>
      </c>
      <c r="C66" s="227"/>
      <c r="D66" s="228">
        <f>AVERAGE(D48:D65)</f>
        <v>0</v>
      </c>
      <c r="E66" s="226"/>
      <c r="F66" s="229">
        <f>AVERAGE(F48:F65)</f>
        <v>0</v>
      </c>
      <c r="G66" s="227" t="e">
        <f>AVERAGE(G48:G65)</f>
        <v>#DIV/0!</v>
      </c>
      <c r="H66" s="230">
        <f>AVERAGE(H48:H65)</f>
        <v>0</v>
      </c>
      <c r="I66" s="229" t="e">
        <f>AVERAGE(I48:I65)</f>
        <v>#DIV/0!</v>
      </c>
      <c r="J66" s="228" t="e">
        <f>AVERAGE(J48:J65)</f>
        <v>#DIV/0!</v>
      </c>
      <c r="K66" s="200"/>
    </row>
    <row r="67" spans="1:19" ht="12.75" customHeight="1" x14ac:dyDescent="0.3">
      <c r="A67" s="200"/>
      <c r="B67" s="237"/>
      <c r="C67" s="238"/>
      <c r="D67" s="239"/>
      <c r="E67" s="237"/>
      <c r="F67" s="240"/>
      <c r="G67" s="238"/>
      <c r="H67" s="241"/>
      <c r="I67" s="240"/>
      <c r="J67" s="239"/>
      <c r="K67" s="200"/>
    </row>
    <row r="68" spans="1:19" ht="12.75" customHeight="1" x14ac:dyDescent="0.3">
      <c r="A68" s="200"/>
      <c r="B68" s="200"/>
      <c r="C68" s="200"/>
      <c r="D68" s="200"/>
      <c r="E68" s="200"/>
      <c r="F68" s="200"/>
      <c r="G68" s="200"/>
      <c r="H68" s="200"/>
      <c r="I68" s="200"/>
      <c r="J68" s="200"/>
      <c r="K68" s="200"/>
    </row>
    <row r="69" spans="1:19" ht="12.75" customHeight="1" x14ac:dyDescent="0.3">
      <c r="A69" s="303" t="s">
        <v>295</v>
      </c>
      <c r="B69" s="303"/>
      <c r="C69" s="303"/>
      <c r="D69" s="303"/>
      <c r="E69" s="303"/>
      <c r="F69" s="303"/>
      <c r="G69" s="303"/>
      <c r="H69" s="303"/>
      <c r="I69" s="303"/>
      <c r="J69" s="303"/>
      <c r="K69" s="303"/>
    </row>
    <row r="70" spans="1:19" ht="12.75" customHeight="1" x14ac:dyDescent="0.3">
      <c r="A70" s="306" t="str">
        <f>CONCATENATE("Summary Data - ",'Event SetUp'!$G$15&amp;" "&amp;'2'!$D$17&amp;"")</f>
        <v>Summary Data - K1 1000 A Final</v>
      </c>
      <c r="B70" s="307"/>
      <c r="C70" s="307"/>
      <c r="D70" s="307"/>
      <c r="E70" s="307"/>
      <c r="F70" s="307"/>
      <c r="G70" s="307"/>
      <c r="H70" s="307"/>
      <c r="I70" s="307"/>
      <c r="J70" s="307"/>
      <c r="K70" s="308"/>
    </row>
    <row r="71" spans="1:19" ht="12.75" customHeight="1" x14ac:dyDescent="0.3">
      <c r="A71" s="257"/>
      <c r="B71" s="129"/>
      <c r="C71" s="332" t="s">
        <v>144</v>
      </c>
      <c r="D71" s="333"/>
      <c r="E71" s="140" t="s">
        <v>150</v>
      </c>
      <c r="F71" s="141"/>
      <c r="G71" s="332" t="s">
        <v>145</v>
      </c>
      <c r="H71" s="334"/>
      <c r="I71" s="333"/>
      <c r="J71" s="335" t="str">
        <f xml:space="preserve"> IF(B65&gt;499, "Pace per 250", " ")</f>
        <v xml:space="preserve"> </v>
      </c>
      <c r="K71" s="335"/>
    </row>
    <row r="72" spans="1:19" ht="12.75" customHeight="1" x14ac:dyDescent="0.3">
      <c r="A72" s="234" t="s">
        <v>146</v>
      </c>
      <c r="B72" s="235" t="s">
        <v>87</v>
      </c>
      <c r="C72" s="259" t="s">
        <v>152</v>
      </c>
      <c r="D72" s="260" t="s">
        <v>149</v>
      </c>
      <c r="E72" s="261" t="s">
        <v>151</v>
      </c>
      <c r="F72" s="261" t="str">
        <f>IF(B65=200," ","eWPS")</f>
        <v>eWPS</v>
      </c>
      <c r="G72" s="259" t="str">
        <f>CONCATENATE($M$4," m")</f>
        <v>250 m</v>
      </c>
      <c r="H72" s="262" t="str">
        <f>CONCATENATE($M$4," m Diff")</f>
        <v>250 m Diff</v>
      </c>
      <c r="I72" s="260" t="str">
        <f>IF(B65&gt;499, "500 m", "50-150 m")</f>
        <v>50-150 m</v>
      </c>
      <c r="J72" s="336"/>
      <c r="K72" s="336"/>
    </row>
    <row r="73" spans="1:19" ht="12.75" customHeight="1" x14ac:dyDescent="0.3">
      <c r="A73" s="231">
        <v>50</v>
      </c>
      <c r="B73" s="149" t="e">
        <f>VLOOKUP(A73, B$45:C$65,2,FALSE)</f>
        <v>#N/A</v>
      </c>
      <c r="C73" s="150" t="e">
        <f>(A73/(B73*86400))*3.6</f>
        <v>#N/A</v>
      </c>
      <c r="D73" s="151" t="e">
        <f>VLOOKUP(A73, B$45:J$65,7,FALSE)</f>
        <v>#N/A</v>
      </c>
      <c r="E73" s="152" t="e">
        <f>(C73/3.6)/(D73/60)</f>
        <v>#N/A</v>
      </c>
      <c r="F73" s="153" t="e">
        <f>IF(B$65=200, " ", ((C73/3.6)^3)/(D73/60))</f>
        <v>#N/A</v>
      </c>
      <c r="G73" s="154" t="str">
        <f>IF(B65=200, B73, " ")</f>
        <v xml:space="preserve"> </v>
      </c>
      <c r="H73" s="155"/>
      <c r="I73" s="156"/>
      <c r="J73" s="157"/>
      <c r="K73" s="157"/>
    </row>
    <row r="74" spans="1:19" ht="12.75" customHeight="1" x14ac:dyDescent="0.3">
      <c r="A74" s="158">
        <v>100</v>
      </c>
      <c r="B74" s="159" t="e">
        <f>VLOOKUP(A74, B$45:C$65,2,FALSE)</f>
        <v>#N/A</v>
      </c>
      <c r="C74" s="160" t="e">
        <f>(A74-A73)/((B74-B73)*86400)*3.6</f>
        <v>#N/A</v>
      </c>
      <c r="D74" s="161" t="e">
        <f>VLOOKUP(A74, B$45:J$65,7,FALSE)</f>
        <v>#N/A</v>
      </c>
      <c r="E74" s="162" t="e">
        <f>(C74/3.6)/(D74/60)</f>
        <v>#N/A</v>
      </c>
      <c r="F74" s="163" t="e">
        <f>IF(B$65=200, " ", ((C74/3.6)^3)/(D74/60))</f>
        <v>#N/A</v>
      </c>
      <c r="G74" s="164" t="str">
        <f>IF(B65=200, B74-B73, " ")</f>
        <v xml:space="preserve"> </v>
      </c>
      <c r="H74" s="165" t="str">
        <f>IF(B65=200, (ABS(G74-G73)), " ")</f>
        <v xml:space="preserve"> </v>
      </c>
      <c r="I74" s="166"/>
      <c r="J74" s="167"/>
      <c r="K74" s="167"/>
    </row>
    <row r="75" spans="1:19" ht="12.75" customHeight="1" x14ac:dyDescent="0.3">
      <c r="A75" s="158">
        <f>IF($B$65 &gt; 499, 250, 150)</f>
        <v>150</v>
      </c>
      <c r="B75" s="159" t="e">
        <f>VLOOKUP(A75, B$45:C$65,2,FALSE)</f>
        <v>#N/A</v>
      </c>
      <c r="C75" s="160" t="e">
        <f>(A75-A74)/((B75-B74)*86400)*3.6</f>
        <v>#N/A</v>
      </c>
      <c r="D75" s="161" t="e">
        <f>VLOOKUP(A75, B$45:J$65,7,FALSE)</f>
        <v>#N/A</v>
      </c>
      <c r="E75" s="162" t="e">
        <f>(C75/3.6)/(D75/60)</f>
        <v>#N/A</v>
      </c>
      <c r="F75" s="163" t="e">
        <f>IF(B$65=200, " ", ((C75/3.6)^3)/(D75/60))</f>
        <v>#N/A</v>
      </c>
      <c r="G75" s="164" t="e">
        <f>IF(B65 = 200, B75-B74, B75)</f>
        <v>#N/A</v>
      </c>
      <c r="H75" s="168"/>
      <c r="I75" s="166"/>
      <c r="J75" s="169" t="str">
        <f>IF(A76=500, (G75*(B65/250)), " ")</f>
        <v xml:space="preserve"> </v>
      </c>
      <c r="K75" s="169"/>
    </row>
    <row r="76" spans="1:19" ht="12.75" customHeight="1" x14ac:dyDescent="0.3">
      <c r="A76" s="158">
        <f>IF($B$65 &gt; 499, 500, 200)</f>
        <v>200</v>
      </c>
      <c r="B76" s="159" t="e">
        <f>VLOOKUP(A76, B$45:C$65,2,FALSE)</f>
        <v>#N/A</v>
      </c>
      <c r="C76" s="160" t="e">
        <f>(A76-A75)/((B76-B75)*86400)*3.6</f>
        <v>#N/A</v>
      </c>
      <c r="D76" s="161" t="e">
        <f>VLOOKUP(A76, B$45:J$65,7,FALSE)</f>
        <v>#N/A</v>
      </c>
      <c r="E76" s="162" t="e">
        <f>(C76/3.6)/(D76/60)</f>
        <v>#N/A</v>
      </c>
      <c r="F76" s="163" t="e">
        <f>IF(B$65=200, " ", ((C76/3.6)^3)/(D76/60))</f>
        <v>#N/A</v>
      </c>
      <c r="G76" s="164" t="e">
        <f>B76-B75</f>
        <v>#N/A</v>
      </c>
      <c r="H76" s="165" t="e">
        <f>ABS(G76-G75)</f>
        <v>#N/A</v>
      </c>
      <c r="I76" s="159" t="e">
        <f>IF(A76&gt;499, B76,B75-B73 )</f>
        <v>#N/A</v>
      </c>
      <c r="J76" s="169" t="str">
        <f>IF(A76=500, (G76*(B65/250)), " ")</f>
        <v xml:space="preserve"> </v>
      </c>
      <c r="K76" s="169"/>
    </row>
    <row r="77" spans="1:19" ht="12.75" customHeight="1" x14ac:dyDescent="0.3">
      <c r="A77" s="158" t="str">
        <f>IF($B$65 &gt; 501, 750, " ")</f>
        <v xml:space="preserve"> </v>
      </c>
      <c r="B77" s="159" t="str">
        <f>IF(A77=" ", " ",(VLOOKUP(A77,B$45:C$65,2,FALSE)))</f>
        <v xml:space="preserve"> </v>
      </c>
      <c r="C77" s="160" t="str">
        <f>IF(A77=" ", " ",(A77-A76)/((B77-B76)*86400)*3.6)</f>
        <v xml:space="preserve"> </v>
      </c>
      <c r="D77" s="161" t="str">
        <f>IF(A77=" ", " ",(VLOOKUP(A77,B$45:J$65,7,FALSE)))</f>
        <v xml:space="preserve"> </v>
      </c>
      <c r="E77" s="162" t="str">
        <f>IF(A77=" "," ",(C77/3.6)/(D77/60))</f>
        <v xml:space="preserve"> </v>
      </c>
      <c r="F77" s="163" t="str">
        <f>IF(B$65=1000, ((C77/3.6)^3)/(D77/60)," ")</f>
        <v xml:space="preserve"> </v>
      </c>
      <c r="G77" s="164" t="str">
        <f>IF(A77=" ", " ", (B77-B76))</f>
        <v xml:space="preserve"> </v>
      </c>
      <c r="H77" s="165" t="str">
        <f>IF(A77=" "," ",ABS(G77-G76))</f>
        <v xml:space="preserve"> </v>
      </c>
      <c r="I77" s="166"/>
      <c r="J77" s="169" t="str">
        <f>IF(A78=1000, (G77*(B65/250)), " ")</f>
        <v xml:space="preserve"> </v>
      </c>
      <c r="K77" s="169"/>
    </row>
    <row r="78" spans="1:19" ht="12.75" customHeight="1" x14ac:dyDescent="0.3">
      <c r="A78" s="232" t="str">
        <f>IF($B$65 &gt; 501, 1000, " ")</f>
        <v xml:space="preserve"> </v>
      </c>
      <c r="B78" s="171" t="str">
        <f>IF(A78=" ", " ",(VLOOKUP(A78,B$45:C$65,2,FALSE)))</f>
        <v xml:space="preserve"> </v>
      </c>
      <c r="C78" s="172" t="str">
        <f>IF(A78=" ", " ",(A78-A77)/((B78-B77)*86400)*3.6)</f>
        <v xml:space="preserve"> </v>
      </c>
      <c r="D78" s="173" t="str">
        <f>IF(A78=" ", " ",(VLOOKUP(A78,B45:J$65,7,FALSE)))</f>
        <v xml:space="preserve"> </v>
      </c>
      <c r="E78" s="174" t="str">
        <f>IF(A78=" ", " ", (C78/3.6)/(D78/60))</f>
        <v xml:space="preserve"> </v>
      </c>
      <c r="F78" s="175" t="str">
        <f>IF(B$65=1000, ((C78/3.6)^3)/(D78/60)," ")</f>
        <v xml:space="preserve"> </v>
      </c>
      <c r="G78" s="176" t="str">
        <f>IF(A78=" ", " ", (B78-B77))</f>
        <v xml:space="preserve"> </v>
      </c>
      <c r="H78" s="177" t="str">
        <f>IF(A78=" ", " ", ABS(G78-G77))</f>
        <v xml:space="preserve"> </v>
      </c>
      <c r="I78" s="171" t="str">
        <f>IF(A78=1000, (B78-B76), " ")</f>
        <v xml:space="preserve"> </v>
      </c>
      <c r="J78" s="178" t="str">
        <f>IF(A78=1000, (G78*(B65/250)), " ")</f>
        <v xml:space="preserve"> </v>
      </c>
      <c r="K78" s="178"/>
    </row>
    <row r="79" spans="1:19" ht="12.75" customHeight="1" x14ac:dyDescent="0.3">
      <c r="A79" s="179" t="s">
        <v>153</v>
      </c>
      <c r="B79" s="180"/>
      <c r="C79" s="181" t="e">
        <f>AVERAGE(C73:C78)</f>
        <v>#N/A</v>
      </c>
      <c r="D79" s="182" t="e">
        <f>AVERAGE(D73:D78)</f>
        <v>#N/A</v>
      </c>
      <c r="E79" s="183" t="e">
        <f>AVERAGE(E73:E78)</f>
        <v>#N/A</v>
      </c>
      <c r="F79" s="184" t="e">
        <f>IF(B65=200," ",AVERAGE(F74:F78))</f>
        <v>#N/A</v>
      </c>
      <c r="G79" s="176" t="e">
        <f>IF(B65=200," ",AVERAGE(G75:G78))</f>
        <v>#N/A</v>
      </c>
      <c r="H79" s="180"/>
      <c r="I79" s="180"/>
      <c r="J79" s="185" t="str">
        <f>IF(B65&gt;499,(AVERAGE(J75:J78)),"")</f>
        <v/>
      </c>
      <c r="K79" s="253"/>
    </row>
    <row r="80" spans="1:19" ht="12.75" customHeight="1" x14ac:dyDescent="0.3">
      <c r="A80" s="187"/>
      <c r="B80" s="128"/>
      <c r="C80" s="128"/>
      <c r="D80" s="128"/>
      <c r="E80" s="128"/>
      <c r="F80" s="128"/>
      <c r="G80" s="128"/>
      <c r="H80" s="128"/>
      <c r="I80" s="128"/>
      <c r="J80" s="128"/>
      <c r="K80" s="258"/>
    </row>
    <row r="81" spans="1:20" ht="12.75" customHeight="1" x14ac:dyDescent="0.3">
      <c r="A81" s="306" t="str">
        <f>'Rpt-1'!A70:K70</f>
        <v>Summary Data - K1 1000 A Final</v>
      </c>
      <c r="B81" s="307"/>
      <c r="C81" s="307"/>
      <c r="D81" s="307"/>
      <c r="E81" s="307"/>
      <c r="F81" s="307"/>
      <c r="G81" s="307"/>
      <c r="H81" s="307"/>
      <c r="I81" s="307"/>
      <c r="J81" s="307"/>
      <c r="K81" s="337"/>
    </row>
    <row r="82" spans="1:20" ht="12.75" customHeight="1" x14ac:dyDescent="0.3">
      <c r="A82" s="257"/>
      <c r="B82" s="129"/>
      <c r="C82" s="332" t="str">
        <f>'Rpt-1'!C71</f>
        <v>Avge</v>
      </c>
      <c r="D82" s="333"/>
      <c r="E82" s="140" t="str">
        <f>'Rpt-1'!E71</f>
        <v xml:space="preserve">Dist </v>
      </c>
      <c r="F82" s="141"/>
      <c r="G82" s="332" t="str">
        <f>'Rpt-1'!G71</f>
        <v>Split Time and Diffs</v>
      </c>
      <c r="H82" s="334"/>
      <c r="I82" s="333"/>
      <c r="J82" s="335" t="str">
        <f>'Rpt-1'!J71</f>
        <v>Pace per 250</v>
      </c>
      <c r="K82" s="335"/>
    </row>
    <row r="83" spans="1:20" ht="12.75" customHeight="1" x14ac:dyDescent="0.3">
      <c r="A83" s="142" t="str">
        <f>'Rpt-1'!A72</f>
        <v>Splits</v>
      </c>
      <c r="B83" s="143" t="str">
        <f>'Rpt-1'!B72</f>
        <v>Time</v>
      </c>
      <c r="C83" s="144" t="str">
        <f>'Rpt-1'!C72</f>
        <v>Vel (km/h)</v>
      </c>
      <c r="D83" s="145" t="str">
        <f>'Rpt-1'!D72</f>
        <v>Str. Rte.</v>
      </c>
      <c r="E83" s="146" t="str">
        <f>'Rpt-1'!E72</f>
        <v>per str</v>
      </c>
      <c r="F83" s="146" t="str">
        <f>'Rpt-1'!F72</f>
        <v>eWPS</v>
      </c>
      <c r="G83" s="144" t="str">
        <f>'Rpt-1'!G72</f>
        <v>250 m</v>
      </c>
      <c r="H83" s="147" t="str">
        <f>'Rpt-1'!H72</f>
        <v>250 m Diff</v>
      </c>
      <c r="I83" s="145" t="str">
        <f>'Rpt-1'!I72</f>
        <v>500 m</v>
      </c>
      <c r="J83" s="338"/>
      <c r="K83" s="336"/>
      <c r="M83" s="134"/>
    </row>
    <row r="84" spans="1:20" ht="12.75" customHeight="1" x14ac:dyDescent="0.3">
      <c r="A84" s="231">
        <f>'Rpt-1'!A73</f>
        <v>50</v>
      </c>
      <c r="B84" s="149">
        <f>'Rpt-1'!B73</f>
        <v>1.273148148148148E-4</v>
      </c>
      <c r="C84" s="150">
        <f>'Rpt-1'!C73</f>
        <v>16.363636363636367</v>
      </c>
      <c r="D84" s="151">
        <f>'Rpt-1'!D73</f>
        <v>142.47999999999999</v>
      </c>
      <c r="E84" s="152">
        <f>'Rpt-1'!E73</f>
        <v>1.9141442499106733</v>
      </c>
      <c r="F84" s="153">
        <f>'Rpt-1'!F73</f>
        <v>39.548434915509787</v>
      </c>
      <c r="G84" s="154" t="str">
        <f>IF('Rpt-1'!G73="","",'Rpt-1'!G73)</f>
        <v xml:space="preserve"> </v>
      </c>
      <c r="H84" s="155" t="str">
        <f>IF('Rpt-1'!H73="","",'Rpt-1'!H73)</f>
        <v/>
      </c>
      <c r="I84" s="156" t="str">
        <f>IF('Rpt-1'!I73="","",'Rpt-1'!I73)</f>
        <v/>
      </c>
      <c r="J84" s="157" t="str">
        <f>IF('Rpt-1'!J73="","",'Rpt-1'!J73)</f>
        <v/>
      </c>
      <c r="K84" s="255" t="str">
        <f>IF('Rpt-1'!K73="","",'Rpt-1'!K73)</f>
        <v/>
      </c>
      <c r="M84" s="134"/>
    </row>
    <row r="85" spans="1:20" ht="12.75" customHeight="1" x14ac:dyDescent="0.3">
      <c r="A85" s="158">
        <f>'Rpt-1'!A74</f>
        <v>100</v>
      </c>
      <c r="B85" s="159">
        <f>'Rpt-1'!B74</f>
        <v>2.3599537037037038E-4</v>
      </c>
      <c r="C85" s="160">
        <f>'Rpt-1'!C74</f>
        <v>19.169329073482423</v>
      </c>
      <c r="D85" s="161">
        <f>'Rpt-1'!D74</f>
        <v>124.42</v>
      </c>
      <c r="E85" s="162">
        <f>'Rpt-1'!E74</f>
        <v>2.5678252523016694</v>
      </c>
      <c r="F85" s="163">
        <f>'Rpt-1'!F74</f>
        <v>72.807193327074771</v>
      </c>
      <c r="G85" s="164" t="str">
        <f>IF('Rpt-1'!G74="","",'Rpt-1'!G74)</f>
        <v xml:space="preserve"> </v>
      </c>
      <c r="H85" s="165" t="str">
        <f>IF('Rpt-1'!H74="","",'Rpt-1'!H74)</f>
        <v xml:space="preserve"> </v>
      </c>
      <c r="I85" s="166" t="str">
        <f>IF('Rpt-1'!I74="","",'Rpt-1'!I74)</f>
        <v/>
      </c>
      <c r="J85" s="167" t="str">
        <f>IF('Rpt-1'!J74="","",'Rpt-1'!J74)</f>
        <v/>
      </c>
      <c r="K85" s="251" t="str">
        <f>IF('Rpt-1'!K74="","",'Rpt-1'!K74)</f>
        <v/>
      </c>
      <c r="M85" s="134"/>
    </row>
    <row r="86" spans="1:20" ht="12.75" customHeight="1" x14ac:dyDescent="0.3">
      <c r="A86" s="158">
        <f>'Rpt-1'!A75</f>
        <v>250</v>
      </c>
      <c r="B86" s="159">
        <f>'Rpt-1'!B75</f>
        <v>5.9247685185185184E-4</v>
      </c>
      <c r="C86" s="160">
        <f>'Rpt-1'!C75</f>
        <v>17.532467532467532</v>
      </c>
      <c r="D86" s="161">
        <f>'Rpt-1'!D75</f>
        <v>109.09</v>
      </c>
      <c r="E86" s="162">
        <f>'Rpt-1'!E75</f>
        <v>2.6785937501860131</v>
      </c>
      <c r="F86" s="163">
        <f>'Rpt-1'!F75</f>
        <v>63.531328406123805</v>
      </c>
      <c r="G86" s="164">
        <f>IF('Rpt-1'!G75="","",'Rpt-1'!G75)</f>
        <v>5.9247685185185184E-4</v>
      </c>
      <c r="H86" s="168" t="str">
        <f>IF('Rpt-1'!H75="","",'Rpt-1'!H75)</f>
        <v/>
      </c>
      <c r="I86" s="166" t="str">
        <f>IF('Rpt-1'!I75="","",'Rpt-1'!I75)</f>
        <v/>
      </c>
      <c r="J86" s="169">
        <f>IF('Rpt-1'!J75="","",'Rpt-1'!J75)</f>
        <v>2.3699074074074074E-3</v>
      </c>
      <c r="K86" s="252" t="str">
        <f>IF('Rpt-1'!K75="","",'Rpt-1'!K75)</f>
        <v/>
      </c>
      <c r="M86" s="134"/>
    </row>
    <row r="87" spans="1:20" ht="12.75" customHeight="1" x14ac:dyDescent="0.3">
      <c r="A87" s="158">
        <f>'Rpt-1'!A76</f>
        <v>500</v>
      </c>
      <c r="B87" s="159">
        <f>'Rpt-1'!B76</f>
        <v>1.2726851851851851E-3</v>
      </c>
      <c r="C87" s="160">
        <f>'Rpt-1'!C76</f>
        <v>15.31393568147014</v>
      </c>
      <c r="D87" s="161">
        <f>'Rpt-1'!D76</f>
        <v>99.08</v>
      </c>
      <c r="E87" s="162">
        <f>'Rpt-1'!E76</f>
        <v>2.5760220161267227</v>
      </c>
      <c r="F87" s="163">
        <f>'Rpt-1'!F76</f>
        <v>46.614196903436735</v>
      </c>
      <c r="G87" s="164">
        <f>IF('Rpt-1'!G76="","",'Rpt-1'!G76)</f>
        <v>6.8020833333333323E-4</v>
      </c>
      <c r="H87" s="165">
        <f>IF('Rpt-1'!H76="","",'Rpt-1'!H76)</f>
        <v>8.7731481481481384E-5</v>
      </c>
      <c r="I87" s="159">
        <f>IF('Rpt-1'!I76="","",'Rpt-1'!I76)</f>
        <v>1.2726851851851851E-3</v>
      </c>
      <c r="J87" s="169">
        <f>IF('Rpt-1'!J76="","",'Rpt-1'!J76)</f>
        <v>2.7208333333333329E-3</v>
      </c>
      <c r="K87" s="252" t="str">
        <f>IF('Rpt-1'!K76="","",'Rpt-1'!K76)</f>
        <v/>
      </c>
      <c r="T87" s="134"/>
    </row>
    <row r="88" spans="1:20" ht="12.75" customHeight="1" x14ac:dyDescent="0.3">
      <c r="A88" s="158">
        <f>'Rpt-1'!A77</f>
        <v>750</v>
      </c>
      <c r="B88" s="159">
        <f>'Rpt-1'!B77</f>
        <v>1.9600694444444444E-3</v>
      </c>
      <c r="C88" s="160">
        <f>'Rpt-1'!C77</f>
        <v>15.15406634113487</v>
      </c>
      <c r="D88" s="161">
        <f>'Rpt-1'!D77</f>
        <v>103.05</v>
      </c>
      <c r="E88" s="162">
        <f>'Rpt-1'!E77</f>
        <v>2.4509245254948842</v>
      </c>
      <c r="F88" s="163">
        <f>'Rpt-1'!F77</f>
        <v>43.429347505734192</v>
      </c>
      <c r="G88" s="164">
        <f>IF('Rpt-1'!G77="","",'Rpt-1'!G77)</f>
        <v>6.8738425925925933E-4</v>
      </c>
      <c r="H88" s="165">
        <f>IF('Rpt-1'!H77="","",'Rpt-1'!H77)</f>
        <v>7.1759259259260993E-6</v>
      </c>
      <c r="I88" s="166" t="str">
        <f>IF('Rpt-1'!I77="","",'Rpt-1'!I77)</f>
        <v/>
      </c>
      <c r="J88" s="169">
        <f>IF('Rpt-1'!J77="","",'Rpt-1'!J77)</f>
        <v>2.7495370370370373E-3</v>
      </c>
      <c r="K88" s="252" t="str">
        <f>IF('Rpt-1'!K77="","",'Rpt-1'!K77)</f>
        <v/>
      </c>
      <c r="T88" s="134"/>
    </row>
    <row r="89" spans="1:20" ht="12.75" customHeight="1" x14ac:dyDescent="0.3">
      <c r="A89" s="232">
        <f>'Rpt-1'!A78</f>
        <v>1000</v>
      </c>
      <c r="B89" s="171">
        <f>'Rpt-1'!B78</f>
        <v>2.6606481481481481E-3</v>
      </c>
      <c r="C89" s="172">
        <f>'Rpt-1'!C78</f>
        <v>14.868660168511482</v>
      </c>
      <c r="D89" s="173">
        <f>'Rpt-1'!D78</f>
        <v>97.47</v>
      </c>
      <c r="E89" s="174">
        <f>'Rpt-1'!E78</f>
        <v>2.5424335981176229</v>
      </c>
      <c r="F89" s="175">
        <f>'Rpt-1'!F78</f>
        <v>43.369886800182677</v>
      </c>
      <c r="G89" s="176">
        <f>IF('Rpt-1'!G78="","",'Rpt-1'!G78)</f>
        <v>7.0057870370370369E-4</v>
      </c>
      <c r="H89" s="177">
        <f>IF('Rpt-1'!H78="","",'Rpt-1'!H78)</f>
        <v>1.3194444444444365E-5</v>
      </c>
      <c r="I89" s="171">
        <f>IF('Rpt-1'!I78="","",'Rpt-1'!I78)</f>
        <v>1.387962962962963E-3</v>
      </c>
      <c r="J89" s="178">
        <f>IF('Rpt-1'!J78="","",'Rpt-1'!J78)</f>
        <v>2.8023148148148148E-3</v>
      </c>
      <c r="K89" s="252" t="str">
        <f>IF('Rpt-1'!K78="","",'Rpt-1'!K78)</f>
        <v/>
      </c>
      <c r="L89" s="187"/>
      <c r="M89" s="128"/>
      <c r="T89" s="134"/>
    </row>
    <row r="90" spans="1:20" ht="12.75" customHeight="1" x14ac:dyDescent="0.3">
      <c r="A90" s="179" t="str">
        <f>'Rpt-1'!A79</f>
        <v>Average</v>
      </c>
      <c r="B90" s="180"/>
      <c r="C90" s="181">
        <f>'Rpt-1'!C79</f>
        <v>16.40034919345047</v>
      </c>
      <c r="D90" s="182">
        <f>'Rpt-1'!D79</f>
        <v>112.59833333333334</v>
      </c>
      <c r="E90" s="183">
        <f>'Rpt-1'!E79</f>
        <v>2.454990565356264</v>
      </c>
      <c r="F90" s="184">
        <f>'Rpt-1'!F79</f>
        <v>53.950390588510437</v>
      </c>
      <c r="G90" s="176">
        <f>'Rpt-1'!G79</f>
        <v>6.6516203703703702E-4</v>
      </c>
      <c r="H90" s="180"/>
      <c r="I90" s="180"/>
      <c r="J90" s="185">
        <f>'Rpt-1'!J79</f>
        <v>2.6606481481481481E-3</v>
      </c>
      <c r="K90" s="253"/>
      <c r="T90" s="134"/>
    </row>
    <row r="91" spans="1:20" ht="14.4" x14ac:dyDescent="0.3">
      <c r="N91" s="137"/>
      <c r="O91" s="138"/>
      <c r="P91" s="138"/>
      <c r="Q91" s="138"/>
      <c r="R91" s="139"/>
      <c r="S91" s="134"/>
    </row>
    <row r="92" spans="1:20" ht="12.75" customHeight="1" x14ac:dyDescent="0.3">
      <c r="A92" s="303" t="s">
        <v>294</v>
      </c>
      <c r="B92" s="303"/>
      <c r="C92" s="303"/>
      <c r="D92" s="303"/>
      <c r="E92" s="303"/>
      <c r="F92" s="233"/>
      <c r="G92" s="303" t="s">
        <v>293</v>
      </c>
      <c r="H92" s="303"/>
      <c r="I92" s="303"/>
      <c r="J92" s="303"/>
      <c r="K92" s="303"/>
      <c r="N92" s="137"/>
      <c r="O92"/>
      <c r="P92" s="138"/>
      <c r="Q92" s="138"/>
      <c r="R92" s="139"/>
      <c r="S92" s="134"/>
    </row>
    <row r="93" spans="1:20" ht="12.75" customHeight="1" x14ac:dyDescent="0.3">
      <c r="A93" s="128"/>
      <c r="B93" s="128"/>
      <c r="C93" s="128"/>
      <c r="D93" s="128"/>
      <c r="E93" s="128"/>
      <c r="F93" s="128"/>
      <c r="G93" s="128"/>
      <c r="H93" s="128"/>
      <c r="I93" s="128"/>
      <c r="J93" s="128"/>
      <c r="K93" s="128"/>
    </row>
    <row r="94" spans="1:20" ht="12.75" customHeight="1" x14ac:dyDescent="0.3">
      <c r="A94" s="128"/>
      <c r="B94" s="128"/>
      <c r="C94" s="128"/>
      <c r="D94" s="128"/>
      <c r="E94" s="128"/>
      <c r="F94" s="128"/>
      <c r="G94" s="128"/>
      <c r="H94" s="128"/>
      <c r="I94" s="128"/>
      <c r="J94" s="128"/>
      <c r="K94" s="128"/>
    </row>
    <row r="95" spans="1:20" ht="12.75" customHeight="1" x14ac:dyDescent="0.3">
      <c r="A95" s="128"/>
      <c r="B95" s="128"/>
      <c r="C95" s="128"/>
      <c r="D95" s="128"/>
      <c r="E95" s="128"/>
      <c r="F95" s="128"/>
      <c r="G95" s="128"/>
      <c r="H95" s="128"/>
      <c r="I95" s="128"/>
      <c r="J95" s="128"/>
      <c r="K95" s="128"/>
    </row>
    <row r="96" spans="1:20" ht="12.75" customHeight="1" x14ac:dyDescent="0.3">
      <c r="A96" s="128"/>
      <c r="B96" s="128"/>
      <c r="C96" s="128"/>
      <c r="D96" s="128"/>
      <c r="E96" s="128"/>
      <c r="F96" s="128"/>
      <c r="G96" s="128"/>
      <c r="H96" s="128"/>
      <c r="I96" s="128"/>
      <c r="J96" s="128"/>
      <c r="K96" s="128"/>
    </row>
    <row r="97" spans="1:13" ht="12.75" customHeight="1" x14ac:dyDescent="0.3">
      <c r="A97" s="128"/>
      <c r="B97" s="128"/>
      <c r="C97" s="128"/>
      <c r="D97" s="128"/>
      <c r="E97" s="128"/>
      <c r="F97" s="128"/>
      <c r="G97" s="128"/>
      <c r="H97" s="128"/>
      <c r="I97" s="128"/>
      <c r="J97" s="128"/>
      <c r="K97" s="128"/>
    </row>
    <row r="98" spans="1:13" ht="12.75" customHeight="1" x14ac:dyDescent="0.3">
      <c r="A98" s="128"/>
      <c r="B98" s="128"/>
      <c r="C98" s="128"/>
      <c r="D98" s="128"/>
      <c r="E98" s="128"/>
      <c r="F98" s="128"/>
      <c r="G98" s="128"/>
      <c r="H98" s="128"/>
      <c r="I98" s="128"/>
      <c r="J98" s="128"/>
      <c r="K98" s="128"/>
    </row>
    <row r="99" spans="1:13" ht="12.75" customHeight="1" x14ac:dyDescent="0.3">
      <c r="A99" s="128"/>
      <c r="B99" s="128"/>
      <c r="C99" s="128"/>
      <c r="D99" s="128"/>
      <c r="E99" s="128"/>
      <c r="F99" s="128"/>
      <c r="G99" s="128"/>
      <c r="H99" s="128"/>
      <c r="I99" s="128"/>
      <c r="J99" s="128"/>
      <c r="K99" s="128"/>
      <c r="M99" s="134"/>
    </row>
    <row r="100" spans="1:13" ht="12.75" customHeight="1" x14ac:dyDescent="0.3">
      <c r="A100" s="128"/>
      <c r="B100" s="128"/>
      <c r="C100" s="128"/>
      <c r="D100" s="128"/>
      <c r="E100" s="128"/>
      <c r="F100" s="128"/>
      <c r="G100" s="128"/>
      <c r="H100" s="128"/>
      <c r="I100" s="128"/>
      <c r="J100" s="128"/>
      <c r="K100" s="128"/>
      <c r="M100" s="134"/>
    </row>
    <row r="101" spans="1:13" ht="12.75" customHeight="1" x14ac:dyDescent="0.3">
      <c r="A101" s="128"/>
      <c r="B101" s="128"/>
      <c r="C101" s="128"/>
      <c r="D101" s="128"/>
      <c r="E101" s="128"/>
      <c r="F101" s="128"/>
      <c r="G101" s="128"/>
      <c r="H101" s="128"/>
      <c r="I101" s="128"/>
      <c r="J101" s="128"/>
      <c r="K101" s="128"/>
      <c r="M101" s="134"/>
    </row>
    <row r="102" spans="1:13" ht="12.75" customHeight="1" x14ac:dyDescent="0.3">
      <c r="A102" s="128"/>
      <c r="B102" s="128"/>
      <c r="C102" s="128"/>
      <c r="D102" s="128"/>
      <c r="E102" s="128"/>
      <c r="F102" s="128"/>
      <c r="G102" s="128"/>
      <c r="H102" s="128"/>
      <c r="I102" s="128"/>
      <c r="J102" s="128"/>
      <c r="K102" s="128"/>
      <c r="M102" s="134"/>
    </row>
    <row r="103" spans="1:13" ht="12.75" customHeight="1" x14ac:dyDescent="0.3">
      <c r="A103" s="128"/>
      <c r="B103" s="128"/>
      <c r="C103" s="128"/>
      <c r="D103" s="128"/>
      <c r="E103" s="128"/>
      <c r="F103" s="128"/>
      <c r="G103" s="128"/>
      <c r="H103" s="128"/>
      <c r="I103" s="128"/>
      <c r="J103" s="128"/>
      <c r="K103" s="128"/>
    </row>
    <row r="104" spans="1:13" ht="12.75" customHeight="1" x14ac:dyDescent="0.3">
      <c r="A104" s="128"/>
      <c r="B104" s="128"/>
      <c r="C104" s="128"/>
      <c r="D104" s="128"/>
      <c r="E104" s="128"/>
      <c r="F104" s="128"/>
      <c r="G104" s="128"/>
      <c r="H104" s="128"/>
      <c r="I104" s="128"/>
      <c r="J104" s="128"/>
      <c r="K104" s="128"/>
    </row>
    <row r="105" spans="1:13" ht="12.75" customHeight="1" x14ac:dyDescent="0.3">
      <c r="A105" s="128"/>
      <c r="B105" s="128"/>
      <c r="C105" s="128"/>
      <c r="D105" s="128"/>
      <c r="E105" s="128"/>
      <c r="F105" s="128"/>
      <c r="G105" s="128"/>
      <c r="H105" s="128"/>
      <c r="I105" s="128"/>
      <c r="J105" s="128"/>
      <c r="K105" s="128"/>
    </row>
    <row r="106" spans="1:13" ht="12.75" customHeight="1" x14ac:dyDescent="0.3">
      <c r="A106" s="128"/>
      <c r="B106" s="128"/>
      <c r="C106" s="128"/>
      <c r="D106" s="128"/>
      <c r="E106" s="128"/>
      <c r="F106" s="128"/>
      <c r="G106" s="128"/>
      <c r="H106" s="128"/>
      <c r="I106" s="128"/>
      <c r="J106" s="128"/>
      <c r="K106" s="128"/>
    </row>
    <row r="107" spans="1:13" ht="12.75" customHeight="1" x14ac:dyDescent="0.3">
      <c r="A107" s="128"/>
      <c r="B107" s="128"/>
      <c r="C107" s="128"/>
      <c r="D107" s="128"/>
      <c r="E107" s="128"/>
      <c r="F107" s="128"/>
      <c r="G107" s="128"/>
      <c r="H107" s="128"/>
      <c r="I107" s="128"/>
      <c r="J107" s="128"/>
      <c r="K107" s="128"/>
    </row>
    <row r="108" spans="1:13" ht="12.75" customHeight="1" x14ac:dyDescent="0.3">
      <c r="A108" s="128"/>
      <c r="B108" s="128"/>
      <c r="C108" s="128"/>
      <c r="D108" s="128"/>
      <c r="E108" s="128"/>
      <c r="F108" s="128"/>
      <c r="G108" s="128"/>
      <c r="H108" s="128"/>
      <c r="I108" s="128"/>
      <c r="J108" s="128"/>
      <c r="K108" s="128"/>
    </row>
    <row r="109" spans="1:13" ht="12.75" customHeight="1" x14ac:dyDescent="0.3">
      <c r="A109" s="128"/>
      <c r="B109" s="128"/>
      <c r="C109" s="128"/>
      <c r="D109" s="128"/>
      <c r="E109" s="128"/>
      <c r="F109" s="128"/>
      <c r="G109" s="128"/>
      <c r="H109" s="128"/>
      <c r="I109" s="128"/>
      <c r="J109" s="128"/>
      <c r="K109" s="128"/>
    </row>
    <row r="110" spans="1:13" ht="12.75" customHeight="1" x14ac:dyDescent="0.3">
      <c r="A110" s="128"/>
      <c r="B110" s="128"/>
      <c r="C110" s="128"/>
      <c r="D110" s="128"/>
      <c r="E110" s="128"/>
      <c r="F110" s="128"/>
      <c r="G110" s="128"/>
      <c r="H110" s="128"/>
      <c r="I110" s="128"/>
      <c r="J110" s="128"/>
      <c r="K110" s="128"/>
    </row>
    <row r="111" spans="1:13" ht="12.75" customHeight="1" x14ac:dyDescent="0.3">
      <c r="A111" s="128"/>
      <c r="B111" s="128"/>
      <c r="C111" s="128"/>
      <c r="D111" s="128"/>
      <c r="E111" s="128"/>
      <c r="F111" s="128"/>
      <c r="G111" s="128"/>
      <c r="H111" s="128"/>
      <c r="I111" s="128"/>
      <c r="J111" s="128"/>
      <c r="K111" s="128"/>
    </row>
    <row r="112" spans="1:13" ht="12.75" customHeight="1" x14ac:dyDescent="0.3">
      <c r="A112" s="128"/>
      <c r="B112" s="128"/>
      <c r="C112" s="128"/>
      <c r="D112" s="128"/>
      <c r="E112" s="128"/>
      <c r="F112" s="128"/>
      <c r="G112" s="128"/>
      <c r="H112" s="128"/>
      <c r="I112" s="128"/>
      <c r="J112" s="128"/>
      <c r="K112" s="128"/>
    </row>
    <row r="113" spans="1:11" ht="12.75" customHeight="1" x14ac:dyDescent="0.3">
      <c r="A113" s="128"/>
      <c r="B113" s="128"/>
      <c r="C113" s="128"/>
      <c r="D113" s="128"/>
      <c r="E113" s="128"/>
      <c r="F113" s="128"/>
      <c r="G113" s="128"/>
      <c r="H113" s="128"/>
      <c r="I113" s="128"/>
      <c r="J113" s="128"/>
      <c r="K113" s="128"/>
    </row>
    <row r="114" spans="1:11" ht="12.75" customHeight="1" x14ac:dyDescent="0.3">
      <c r="A114" s="128"/>
      <c r="B114" s="128"/>
      <c r="C114" s="128"/>
      <c r="D114" s="128"/>
      <c r="E114" s="128"/>
      <c r="F114" s="128"/>
      <c r="G114" s="128"/>
      <c r="H114" s="128"/>
      <c r="I114" s="128"/>
      <c r="J114" s="128"/>
      <c r="K114" s="128"/>
    </row>
    <row r="115" spans="1:11" ht="12.75" customHeight="1" x14ac:dyDescent="0.3">
      <c r="A115" s="128"/>
      <c r="B115" s="128"/>
      <c r="C115" s="128"/>
      <c r="D115" s="128"/>
      <c r="E115" s="128"/>
      <c r="F115" s="128"/>
      <c r="G115" s="128"/>
      <c r="H115" s="128"/>
      <c r="I115" s="128"/>
      <c r="J115" s="128"/>
      <c r="K115" s="128"/>
    </row>
    <row r="116" spans="1:11" ht="12.75" customHeight="1" x14ac:dyDescent="0.3">
      <c r="A116" s="128"/>
      <c r="B116" s="128"/>
      <c r="C116" s="128"/>
      <c r="D116" s="128"/>
      <c r="E116" s="128"/>
      <c r="F116" s="128"/>
      <c r="G116" s="128"/>
      <c r="H116" s="128"/>
      <c r="I116" s="128"/>
      <c r="J116" s="128"/>
      <c r="K116" s="128"/>
    </row>
    <row r="117" spans="1:11" ht="12.75" customHeight="1" x14ac:dyDescent="0.3">
      <c r="A117" s="128"/>
      <c r="B117" s="128"/>
      <c r="C117" s="128"/>
      <c r="D117" s="128"/>
      <c r="E117" s="128"/>
      <c r="F117" s="128"/>
      <c r="G117" s="128"/>
      <c r="H117" s="128"/>
      <c r="I117" s="128"/>
      <c r="J117" s="128"/>
      <c r="K117" s="128"/>
    </row>
    <row r="118" spans="1:11" ht="12.75" customHeight="1" x14ac:dyDescent="0.3">
      <c r="A118" s="128"/>
      <c r="B118" s="128"/>
      <c r="C118" s="128"/>
      <c r="D118" s="128"/>
      <c r="E118" s="128"/>
      <c r="F118" s="128"/>
      <c r="G118" s="128"/>
      <c r="H118" s="128"/>
      <c r="I118" s="128"/>
      <c r="J118" s="128"/>
      <c r="K118" s="128"/>
    </row>
    <row r="119" spans="1:11" ht="12.75" customHeight="1" x14ac:dyDescent="0.3">
      <c r="A119" s="128"/>
      <c r="B119" s="128"/>
      <c r="C119" s="128"/>
      <c r="D119" s="128"/>
      <c r="E119" s="128"/>
      <c r="F119" s="128"/>
      <c r="G119" s="128"/>
      <c r="H119" s="128"/>
      <c r="I119" s="128"/>
      <c r="J119" s="128"/>
      <c r="K119" s="128"/>
    </row>
    <row r="120" spans="1:11" ht="12.75" customHeight="1" x14ac:dyDescent="0.3">
      <c r="A120" s="128"/>
      <c r="B120" s="128"/>
      <c r="C120" s="128"/>
      <c r="D120" s="128"/>
      <c r="E120" s="128"/>
      <c r="F120" s="128"/>
      <c r="G120" s="128"/>
      <c r="H120" s="128"/>
      <c r="I120" s="128"/>
      <c r="J120" s="128"/>
      <c r="K120" s="128"/>
    </row>
    <row r="121" spans="1:11" ht="12.75" customHeight="1" x14ac:dyDescent="0.3">
      <c r="A121" s="128"/>
      <c r="B121" s="128"/>
      <c r="C121" s="128"/>
      <c r="D121" s="128"/>
      <c r="E121" s="128"/>
      <c r="F121" s="128"/>
      <c r="G121" s="128"/>
      <c r="H121" s="128"/>
      <c r="I121" s="128"/>
      <c r="J121" s="128"/>
      <c r="K121" s="128"/>
    </row>
    <row r="122" spans="1:11" ht="12.75" customHeight="1" x14ac:dyDescent="0.3">
      <c r="A122" s="128"/>
      <c r="B122" s="128"/>
      <c r="C122" s="128"/>
      <c r="D122" s="128"/>
      <c r="E122" s="128"/>
      <c r="F122" s="128"/>
      <c r="G122" s="128"/>
      <c r="H122" s="128"/>
      <c r="I122" s="128"/>
      <c r="J122" s="128"/>
      <c r="K122" s="128"/>
    </row>
    <row r="123" spans="1:11" ht="12.75" customHeight="1" x14ac:dyDescent="0.3">
      <c r="A123" s="128"/>
      <c r="B123" s="128"/>
      <c r="C123" s="128"/>
      <c r="D123" s="128"/>
      <c r="E123" s="128"/>
      <c r="F123" s="128"/>
      <c r="G123" s="128"/>
      <c r="H123" s="128"/>
      <c r="I123" s="128"/>
      <c r="J123" s="128"/>
      <c r="K123" s="128"/>
    </row>
    <row r="124" spans="1:11" ht="12.75" customHeight="1" x14ac:dyDescent="0.3">
      <c r="A124" s="128"/>
      <c r="B124" s="128"/>
      <c r="C124" s="128"/>
      <c r="D124" s="128"/>
      <c r="E124" s="128"/>
      <c r="F124" s="128"/>
      <c r="G124" s="128"/>
      <c r="H124" s="128"/>
      <c r="I124" s="128"/>
      <c r="J124" s="128"/>
      <c r="K124" s="128"/>
    </row>
    <row r="125" spans="1:11" ht="12.75" customHeight="1" x14ac:dyDescent="0.3">
      <c r="A125" s="128"/>
      <c r="B125" s="128"/>
      <c r="C125" s="128"/>
      <c r="D125" s="128"/>
      <c r="E125" s="128"/>
      <c r="F125" s="128"/>
      <c r="G125" s="128"/>
      <c r="H125" s="128"/>
      <c r="I125" s="128"/>
      <c r="J125" s="128"/>
      <c r="K125" s="128"/>
    </row>
    <row r="126" spans="1:11" ht="12.75" customHeight="1" x14ac:dyDescent="0.3">
      <c r="A126" s="128"/>
      <c r="B126" s="128"/>
      <c r="C126" s="128"/>
      <c r="D126" s="128"/>
      <c r="E126" s="128"/>
      <c r="F126" s="128"/>
      <c r="G126" s="128"/>
      <c r="H126" s="128"/>
      <c r="I126" s="128"/>
      <c r="J126" s="128"/>
      <c r="K126" s="128"/>
    </row>
    <row r="127" spans="1:11" ht="12.75" customHeight="1" x14ac:dyDescent="0.3">
      <c r="A127" s="128"/>
      <c r="B127" s="128"/>
      <c r="C127" s="128"/>
      <c r="D127" s="128"/>
      <c r="E127" s="128"/>
      <c r="F127" s="128"/>
      <c r="G127" s="128"/>
      <c r="H127" s="128"/>
      <c r="I127" s="128"/>
      <c r="J127" s="128"/>
      <c r="K127" s="128"/>
    </row>
    <row r="128" spans="1:11" ht="12.75" customHeight="1" x14ac:dyDescent="0.3">
      <c r="A128" s="128"/>
      <c r="B128" s="128"/>
      <c r="C128" s="128"/>
      <c r="D128" s="128"/>
      <c r="E128" s="128"/>
      <c r="F128" s="128"/>
      <c r="G128" s="128"/>
      <c r="H128" s="128"/>
      <c r="I128" s="128"/>
      <c r="J128" s="128"/>
      <c r="K128" s="128"/>
    </row>
    <row r="129" spans="1:11" ht="12.75" customHeight="1" x14ac:dyDescent="0.3">
      <c r="A129" s="128"/>
      <c r="B129" s="128"/>
      <c r="C129" s="128"/>
      <c r="D129" s="128"/>
      <c r="E129" s="128"/>
      <c r="F129" s="128"/>
      <c r="G129" s="128"/>
      <c r="H129" s="128"/>
      <c r="I129" s="128"/>
      <c r="J129" s="128"/>
      <c r="K129" s="128"/>
    </row>
    <row r="130" spans="1:11" ht="12.75" customHeight="1" x14ac:dyDescent="0.3">
      <c r="A130" s="128"/>
      <c r="B130" s="128"/>
      <c r="C130" s="128"/>
      <c r="D130" s="128"/>
      <c r="E130" s="128"/>
      <c r="F130" s="128"/>
      <c r="G130" s="128"/>
      <c r="H130" s="128"/>
      <c r="I130" s="128"/>
      <c r="J130" s="128"/>
      <c r="K130" s="128"/>
    </row>
    <row r="131" spans="1:11" ht="12.75" customHeight="1" x14ac:dyDescent="0.3">
      <c r="A131" s="128"/>
      <c r="B131" s="128"/>
      <c r="C131" s="128"/>
      <c r="D131" s="128"/>
      <c r="E131" s="128"/>
      <c r="F131" s="128"/>
      <c r="G131" s="128"/>
      <c r="H131" s="128"/>
      <c r="I131" s="128"/>
      <c r="J131" s="128"/>
      <c r="K131" s="128"/>
    </row>
    <row r="132" spans="1:11" ht="12.75" customHeight="1" x14ac:dyDescent="0.3">
      <c r="A132" s="128"/>
      <c r="B132" s="128"/>
      <c r="C132" s="128"/>
      <c r="D132" s="128"/>
      <c r="E132" s="128"/>
      <c r="F132" s="128"/>
      <c r="G132" s="128"/>
      <c r="H132" s="128"/>
      <c r="I132" s="128"/>
      <c r="J132" s="128"/>
      <c r="K132" s="128"/>
    </row>
    <row r="133" spans="1:11" ht="12.75" customHeight="1" x14ac:dyDescent="0.3">
      <c r="A133" s="128"/>
      <c r="B133" s="128"/>
      <c r="C133" s="128"/>
      <c r="D133" s="128"/>
      <c r="E133" s="128"/>
      <c r="F133" s="128"/>
      <c r="G133" s="128"/>
      <c r="H133" s="128"/>
      <c r="I133" s="128"/>
      <c r="J133" s="128"/>
      <c r="K133" s="128"/>
    </row>
    <row r="134" spans="1:11" ht="13.8" x14ac:dyDescent="0.3">
      <c r="A134" s="128"/>
      <c r="B134" s="128"/>
      <c r="C134" s="128"/>
      <c r="D134" s="128"/>
      <c r="E134" s="128"/>
      <c r="F134" s="128"/>
      <c r="G134" s="128"/>
      <c r="H134" s="128"/>
      <c r="I134" s="128"/>
      <c r="J134" s="128"/>
      <c r="K134" s="128"/>
    </row>
    <row r="135" spans="1:11" ht="12.75" customHeight="1" x14ac:dyDescent="0.3">
      <c r="A135" s="128"/>
      <c r="B135" s="128"/>
      <c r="C135" s="128"/>
      <c r="D135" s="128"/>
      <c r="E135" s="128"/>
      <c r="F135" s="128"/>
      <c r="G135" s="128"/>
      <c r="H135" s="128"/>
      <c r="I135" s="128"/>
      <c r="J135" s="128"/>
      <c r="K135" s="128"/>
    </row>
    <row r="136" spans="1:11" ht="12.75" customHeight="1" x14ac:dyDescent="0.3">
      <c r="A136" s="303" t="s">
        <v>143</v>
      </c>
      <c r="B136" s="303"/>
      <c r="C136" s="303"/>
      <c r="D136" s="303"/>
      <c r="E136" s="303"/>
      <c r="F136" s="233"/>
      <c r="G136" s="303" t="s">
        <v>293</v>
      </c>
      <c r="H136" s="303"/>
      <c r="I136" s="303"/>
      <c r="J136" s="303"/>
      <c r="K136" s="303"/>
    </row>
    <row r="137" spans="1:11" ht="12.75" customHeight="1" x14ac:dyDescent="0.3">
      <c r="A137" s="128"/>
      <c r="B137" s="128"/>
      <c r="C137" s="128"/>
      <c r="D137" s="128"/>
      <c r="E137" s="128"/>
      <c r="F137" s="128"/>
      <c r="G137" s="128"/>
      <c r="H137" s="128"/>
      <c r="I137" s="128"/>
      <c r="J137" s="128"/>
      <c r="K137" s="128"/>
    </row>
    <row r="138" spans="1:11" ht="12.75" customHeight="1" x14ac:dyDescent="0.3">
      <c r="A138" s="128"/>
      <c r="B138" s="128"/>
      <c r="C138" s="128"/>
      <c r="D138" s="128"/>
      <c r="E138" s="128"/>
      <c r="F138" s="128"/>
      <c r="G138" s="128"/>
      <c r="H138" s="128"/>
      <c r="I138" s="128"/>
      <c r="J138" s="128"/>
      <c r="K138" s="128"/>
    </row>
    <row r="139" spans="1:11" ht="12.75" customHeight="1" x14ac:dyDescent="0.3">
      <c r="A139" s="128"/>
      <c r="B139" s="128"/>
      <c r="C139" s="128"/>
      <c r="D139" s="128"/>
      <c r="E139" s="128"/>
      <c r="F139" s="128"/>
      <c r="G139" s="128"/>
      <c r="H139" s="128"/>
      <c r="I139" s="128"/>
      <c r="J139" s="128"/>
      <c r="K139" s="128"/>
    </row>
    <row r="140" spans="1:11" ht="12.75" customHeight="1" x14ac:dyDescent="0.3">
      <c r="A140" s="128"/>
      <c r="B140" s="128"/>
      <c r="C140" s="128"/>
      <c r="D140" s="128"/>
      <c r="E140" s="128"/>
      <c r="F140" s="128"/>
      <c r="G140" s="128"/>
      <c r="H140" s="128"/>
      <c r="I140" s="128"/>
      <c r="J140" s="128"/>
      <c r="K140" s="128"/>
    </row>
    <row r="141" spans="1:11" ht="12.75" customHeight="1" x14ac:dyDescent="0.3">
      <c r="A141" s="128"/>
      <c r="B141" s="128"/>
      <c r="C141" s="128"/>
      <c r="D141" s="128"/>
      <c r="E141" s="128"/>
      <c r="F141" s="128"/>
      <c r="G141" s="128"/>
      <c r="H141" s="128"/>
      <c r="I141" s="128"/>
      <c r="J141" s="128"/>
      <c r="K141" s="128"/>
    </row>
    <row r="142" spans="1:11" ht="12.75" customHeight="1" x14ac:dyDescent="0.3">
      <c r="A142" s="128"/>
      <c r="B142" s="128"/>
      <c r="C142" s="128"/>
      <c r="D142" s="128"/>
      <c r="E142" s="128"/>
      <c r="F142" s="128"/>
      <c r="G142" s="128"/>
      <c r="H142" s="128"/>
      <c r="I142" s="128"/>
      <c r="J142" s="128"/>
      <c r="K142" s="128"/>
    </row>
    <row r="143" spans="1:11" ht="12.75" customHeight="1" x14ac:dyDescent="0.3">
      <c r="A143" s="128"/>
      <c r="B143" s="128"/>
      <c r="C143" s="128"/>
      <c r="D143" s="128"/>
      <c r="E143" s="128"/>
      <c r="F143" s="128"/>
      <c r="G143" s="128"/>
      <c r="H143" s="128"/>
      <c r="I143" s="128"/>
      <c r="J143" s="128"/>
      <c r="K143" s="128"/>
    </row>
    <row r="144" spans="1:11" ht="12.75" customHeight="1" x14ac:dyDescent="0.3">
      <c r="A144" s="128"/>
      <c r="B144" s="128"/>
      <c r="C144" s="128"/>
      <c r="D144" s="128"/>
      <c r="E144" s="128"/>
      <c r="F144" s="128"/>
      <c r="G144" s="128"/>
      <c r="H144" s="128"/>
      <c r="I144" s="128"/>
      <c r="J144" s="128"/>
      <c r="K144" s="128"/>
    </row>
    <row r="145" spans="1:11" ht="12.75" customHeight="1" x14ac:dyDescent="0.3">
      <c r="A145" s="128"/>
      <c r="B145" s="128"/>
      <c r="C145" s="128"/>
      <c r="D145" s="128"/>
      <c r="E145" s="128"/>
      <c r="F145" s="128"/>
      <c r="G145" s="128"/>
      <c r="H145" s="128"/>
      <c r="I145" s="128"/>
      <c r="J145" s="128"/>
      <c r="K145" s="128"/>
    </row>
    <row r="146" spans="1:11" ht="12.75" customHeight="1" x14ac:dyDescent="0.3">
      <c r="A146" s="128"/>
      <c r="B146" s="128"/>
      <c r="C146" s="128"/>
      <c r="D146" s="128"/>
      <c r="E146" s="128"/>
      <c r="F146" s="128"/>
      <c r="G146" s="128"/>
      <c r="H146" s="128"/>
      <c r="I146" s="128"/>
      <c r="J146" s="128"/>
      <c r="K146" s="128"/>
    </row>
    <row r="147" spans="1:11" ht="12.75" customHeight="1" x14ac:dyDescent="0.3">
      <c r="A147" s="128"/>
      <c r="B147" s="128"/>
      <c r="C147" s="128"/>
      <c r="D147" s="128"/>
      <c r="E147" s="128"/>
      <c r="F147" s="128"/>
      <c r="G147" s="128"/>
      <c r="H147" s="128"/>
      <c r="I147" s="128"/>
      <c r="J147" s="128"/>
      <c r="K147" s="128"/>
    </row>
    <row r="148" spans="1:11" ht="12.75" customHeight="1" x14ac:dyDescent="0.3">
      <c r="A148" s="128"/>
      <c r="B148" s="128"/>
      <c r="C148" s="128"/>
      <c r="D148" s="128"/>
      <c r="E148" s="128"/>
      <c r="F148" s="128"/>
      <c r="G148" s="128"/>
      <c r="H148" s="128"/>
      <c r="I148" s="128"/>
      <c r="J148" s="128"/>
      <c r="K148" s="128"/>
    </row>
    <row r="149" spans="1:11" ht="12.75" customHeight="1" x14ac:dyDescent="0.3">
      <c r="A149" s="128"/>
      <c r="B149" s="128"/>
      <c r="C149" s="128"/>
      <c r="D149" s="128"/>
      <c r="E149" s="128"/>
      <c r="F149" s="128"/>
      <c r="G149" s="128"/>
      <c r="H149" s="128"/>
      <c r="I149" s="128"/>
      <c r="J149" s="128"/>
      <c r="K149" s="128"/>
    </row>
    <row r="150" spans="1:11" ht="12.75" customHeight="1" x14ac:dyDescent="0.3">
      <c r="A150" s="128"/>
      <c r="B150" s="128"/>
      <c r="C150" s="128"/>
      <c r="D150" s="128"/>
      <c r="E150" s="128"/>
      <c r="F150" s="128"/>
      <c r="G150" s="128"/>
      <c r="H150" s="128"/>
      <c r="I150" s="128"/>
      <c r="J150" s="128"/>
      <c r="K150" s="128"/>
    </row>
    <row r="151" spans="1:11" ht="12.75" customHeight="1" x14ac:dyDescent="0.3">
      <c r="A151" s="128"/>
      <c r="B151" s="128"/>
      <c r="C151" s="128"/>
      <c r="D151" s="128"/>
      <c r="E151" s="128"/>
      <c r="F151" s="128"/>
      <c r="G151" s="128"/>
      <c r="H151" s="128"/>
      <c r="I151" s="128"/>
      <c r="J151" s="128"/>
      <c r="K151" s="128"/>
    </row>
    <row r="152" spans="1:11" ht="13.8" x14ac:dyDescent="0.3">
      <c r="A152" s="128"/>
      <c r="B152" s="128"/>
      <c r="C152" s="128"/>
      <c r="D152" s="128"/>
      <c r="E152" s="128"/>
      <c r="F152" s="128"/>
      <c r="G152" s="128"/>
      <c r="H152" s="128"/>
      <c r="I152" s="128"/>
      <c r="J152" s="128"/>
      <c r="K152" s="128"/>
    </row>
    <row r="153" spans="1:11" ht="12.75" customHeight="1" x14ac:dyDescent="0.3">
      <c r="A153" s="128"/>
      <c r="B153" s="128"/>
      <c r="C153" s="128"/>
      <c r="D153" s="128"/>
      <c r="E153" s="128"/>
      <c r="F153" s="128"/>
      <c r="G153" s="128"/>
      <c r="H153" s="128"/>
      <c r="I153" s="128"/>
      <c r="J153" s="128"/>
      <c r="K153" s="128"/>
    </row>
    <row r="154" spans="1:11" ht="12.75" customHeight="1" x14ac:dyDescent="0.3">
      <c r="A154" s="303" t="s">
        <v>296</v>
      </c>
      <c r="B154" s="303"/>
      <c r="C154" s="303"/>
      <c r="D154" s="303"/>
      <c r="E154" s="303"/>
      <c r="F154" s="233"/>
      <c r="G154" s="303" t="s">
        <v>293</v>
      </c>
      <c r="H154" s="303"/>
      <c r="I154" s="303"/>
      <c r="J154" s="303"/>
      <c r="K154" s="303"/>
    </row>
    <row r="155" spans="1:11" ht="12.75" customHeight="1" x14ac:dyDescent="0.3">
      <c r="A155" s="128"/>
      <c r="B155" s="128"/>
      <c r="C155" s="128"/>
      <c r="D155" s="128"/>
      <c r="E155" s="128"/>
      <c r="F155" s="128"/>
      <c r="G155" s="128"/>
      <c r="H155" s="128"/>
      <c r="I155" s="128"/>
      <c r="J155" s="128"/>
      <c r="K155" s="128"/>
    </row>
    <row r="156" spans="1:11" ht="12.75" customHeight="1" x14ac:dyDescent="0.3">
      <c r="A156" s="128"/>
      <c r="B156" s="128"/>
      <c r="C156" s="128"/>
      <c r="D156" s="128"/>
      <c r="E156" s="128"/>
      <c r="F156" s="128"/>
      <c r="G156" s="128"/>
      <c r="H156" s="128"/>
      <c r="I156" s="128"/>
      <c r="J156" s="128"/>
      <c r="K156" s="128"/>
    </row>
    <row r="157" spans="1:11" ht="12.75" customHeight="1" x14ac:dyDescent="0.3">
      <c r="A157" s="128"/>
      <c r="B157" s="128"/>
      <c r="C157" s="128"/>
      <c r="D157" s="128"/>
      <c r="E157" s="128"/>
      <c r="F157" s="128"/>
      <c r="G157" s="128"/>
      <c r="H157" s="128"/>
      <c r="I157" s="128"/>
      <c r="J157" s="128"/>
      <c r="K157" s="128"/>
    </row>
    <row r="158" spans="1:11" ht="12.75" customHeight="1" x14ac:dyDescent="0.3">
      <c r="A158" s="128"/>
      <c r="B158" s="128"/>
      <c r="C158" s="128"/>
      <c r="D158" s="128"/>
      <c r="E158" s="128"/>
      <c r="F158" s="128"/>
      <c r="G158" s="128"/>
      <c r="H158" s="128"/>
      <c r="I158" s="128"/>
      <c r="J158" s="128"/>
      <c r="K158" s="128"/>
    </row>
    <row r="159" spans="1:11" ht="12.75" customHeight="1" x14ac:dyDescent="0.3">
      <c r="A159" s="128"/>
      <c r="B159" s="128"/>
      <c r="C159" s="128"/>
      <c r="D159" s="128"/>
      <c r="E159" s="128"/>
      <c r="F159" s="128"/>
      <c r="G159" s="128"/>
      <c r="H159" s="128"/>
      <c r="I159" s="128"/>
      <c r="J159" s="128"/>
      <c r="K159" s="128"/>
    </row>
    <row r="160" spans="1:11" ht="12.75" customHeight="1" x14ac:dyDescent="0.3">
      <c r="A160" s="128"/>
      <c r="B160" s="128"/>
      <c r="C160" s="128"/>
      <c r="D160" s="128"/>
      <c r="E160" s="128"/>
      <c r="F160" s="128"/>
      <c r="G160" s="128"/>
      <c r="H160" s="128"/>
      <c r="I160" s="128"/>
      <c r="J160" s="128"/>
      <c r="K160" s="128"/>
    </row>
    <row r="161" spans="1:11" ht="12.75" customHeight="1" x14ac:dyDescent="0.3">
      <c r="A161" s="128"/>
      <c r="B161" s="128"/>
      <c r="C161" s="128"/>
      <c r="D161" s="128"/>
      <c r="E161" s="128"/>
      <c r="F161" s="128"/>
      <c r="G161" s="128"/>
      <c r="H161" s="128"/>
      <c r="I161" s="128"/>
      <c r="J161" s="128"/>
      <c r="K161" s="128"/>
    </row>
    <row r="162" spans="1:11" ht="12.75" customHeight="1" x14ac:dyDescent="0.3">
      <c r="A162" s="128"/>
      <c r="B162" s="128"/>
      <c r="C162" s="128"/>
      <c r="D162" s="128"/>
      <c r="E162" s="128"/>
      <c r="F162" s="128"/>
      <c r="G162" s="128"/>
      <c r="H162" s="128"/>
      <c r="I162" s="128"/>
      <c r="J162" s="128"/>
      <c r="K162" s="128"/>
    </row>
    <row r="163" spans="1:11" ht="12.75" customHeight="1" x14ac:dyDescent="0.3">
      <c r="A163" s="128"/>
      <c r="B163" s="128"/>
      <c r="C163" s="128"/>
      <c r="D163" s="128"/>
      <c r="E163" s="128"/>
      <c r="F163" s="128"/>
      <c r="G163" s="128"/>
      <c r="H163" s="128"/>
      <c r="I163" s="128"/>
      <c r="J163" s="128"/>
      <c r="K163" s="128"/>
    </row>
    <row r="164" spans="1:11" ht="12.75" customHeight="1" x14ac:dyDescent="0.3">
      <c r="A164" s="128"/>
      <c r="B164" s="128"/>
      <c r="C164" s="128"/>
      <c r="D164" s="128"/>
      <c r="E164" s="128"/>
      <c r="F164" s="128"/>
      <c r="G164" s="128"/>
      <c r="H164" s="128"/>
      <c r="I164" s="128"/>
      <c r="J164" s="128"/>
      <c r="K164" s="128"/>
    </row>
    <row r="165" spans="1:11" ht="12.75" customHeight="1" x14ac:dyDescent="0.3">
      <c r="A165" s="128"/>
      <c r="B165" s="128"/>
      <c r="C165" s="128"/>
      <c r="D165" s="128"/>
      <c r="E165" s="128"/>
      <c r="F165" s="128"/>
      <c r="G165" s="128"/>
      <c r="H165" s="128"/>
      <c r="I165" s="128"/>
      <c r="J165" s="128"/>
      <c r="K165" s="128"/>
    </row>
    <row r="166" spans="1:11" ht="12.75" customHeight="1" x14ac:dyDescent="0.3">
      <c r="A166" s="128"/>
      <c r="B166" s="128"/>
      <c r="C166" s="128"/>
      <c r="D166" s="128"/>
      <c r="E166" s="128"/>
      <c r="F166" s="128"/>
      <c r="G166" s="128"/>
      <c r="H166" s="128"/>
      <c r="I166" s="128"/>
      <c r="J166" s="128"/>
      <c r="K166" s="128"/>
    </row>
    <row r="167" spans="1:11" ht="12.75" customHeight="1" x14ac:dyDescent="0.3">
      <c r="A167" s="128"/>
      <c r="B167" s="128"/>
      <c r="C167" s="128"/>
      <c r="D167" s="128"/>
      <c r="E167" s="128"/>
      <c r="F167" s="128"/>
      <c r="G167" s="128"/>
      <c r="H167" s="128"/>
      <c r="I167" s="128"/>
      <c r="J167" s="128"/>
      <c r="K167" s="128"/>
    </row>
    <row r="168" spans="1:11" ht="12.75" customHeight="1" x14ac:dyDescent="0.3">
      <c r="A168" s="128"/>
      <c r="B168" s="128"/>
      <c r="C168" s="128"/>
      <c r="D168" s="128"/>
      <c r="E168" s="128"/>
      <c r="F168" s="128"/>
      <c r="G168" s="128"/>
      <c r="H168" s="128"/>
      <c r="I168" s="128"/>
      <c r="J168" s="128"/>
      <c r="K168" s="128"/>
    </row>
    <row r="169" spans="1:11" ht="12.75" customHeight="1" x14ac:dyDescent="0.3">
      <c r="A169" s="128"/>
      <c r="B169" s="128"/>
      <c r="C169" s="128"/>
      <c r="D169" s="128"/>
      <c r="E169" s="128"/>
      <c r="F169" s="128"/>
      <c r="G169" s="128"/>
      <c r="H169" s="128"/>
      <c r="I169" s="128"/>
      <c r="J169" s="128"/>
      <c r="K169" s="128"/>
    </row>
    <row r="170" spans="1:11" ht="13.8" x14ac:dyDescent="0.3">
      <c r="A170" s="128"/>
      <c r="B170" s="128"/>
      <c r="C170" s="128"/>
      <c r="D170" s="128"/>
      <c r="E170" s="128"/>
      <c r="F170" s="128"/>
      <c r="G170" s="128"/>
      <c r="H170" s="128"/>
      <c r="I170" s="128"/>
      <c r="J170" s="128"/>
      <c r="K170" s="128"/>
    </row>
    <row r="171" spans="1:11" ht="12.75" customHeight="1" x14ac:dyDescent="0.3">
      <c r="A171" s="128"/>
      <c r="B171" s="128"/>
      <c r="C171" s="128"/>
      <c r="D171" s="128"/>
      <c r="E171" s="128"/>
      <c r="F171" s="128"/>
      <c r="G171" s="128"/>
      <c r="H171" s="128"/>
      <c r="I171" s="128"/>
      <c r="J171" s="128"/>
      <c r="K171" s="128"/>
    </row>
    <row r="172" spans="1:11" ht="12.75" customHeight="1" x14ac:dyDescent="0.3">
      <c r="A172" s="303" t="s">
        <v>286</v>
      </c>
      <c r="B172" s="303"/>
      <c r="C172" s="303"/>
      <c r="D172" s="303"/>
      <c r="E172" s="303"/>
      <c r="F172" s="233"/>
      <c r="G172" s="303" t="s">
        <v>293</v>
      </c>
      <c r="H172" s="303"/>
      <c r="I172" s="303"/>
      <c r="J172" s="303"/>
      <c r="K172" s="303"/>
    </row>
    <row r="173" spans="1:11" ht="12.75" customHeight="1" x14ac:dyDescent="0.3">
      <c r="A173" s="128"/>
      <c r="B173" s="128"/>
      <c r="C173" s="128"/>
      <c r="D173" s="128"/>
      <c r="E173" s="128"/>
      <c r="F173" s="128"/>
      <c r="G173" s="128"/>
      <c r="H173" s="128"/>
      <c r="I173" s="128"/>
      <c r="J173" s="128"/>
      <c r="K173" s="128"/>
    </row>
    <row r="174" spans="1:11" ht="12.75" customHeight="1" x14ac:dyDescent="0.3">
      <c r="A174" s="128"/>
      <c r="B174" s="128"/>
      <c r="C174" s="128"/>
      <c r="D174" s="128"/>
      <c r="E174" s="128"/>
      <c r="F174" s="128"/>
      <c r="G174" s="128"/>
      <c r="H174" s="128"/>
      <c r="I174" s="128"/>
      <c r="J174" s="128"/>
      <c r="K174" s="128"/>
    </row>
    <row r="175" spans="1:11" ht="12.75" customHeight="1" x14ac:dyDescent="0.3">
      <c r="A175" s="128"/>
      <c r="B175" s="128"/>
      <c r="C175" s="128"/>
      <c r="D175" s="128"/>
      <c r="E175" s="128"/>
      <c r="F175" s="128"/>
      <c r="G175" s="128"/>
      <c r="H175" s="128"/>
      <c r="I175" s="128"/>
      <c r="J175" s="128"/>
      <c r="K175" s="128"/>
    </row>
    <row r="176" spans="1:11" ht="12.75" customHeight="1" x14ac:dyDescent="0.3">
      <c r="A176" s="128"/>
      <c r="B176" s="128"/>
      <c r="C176" s="128"/>
      <c r="D176" s="128"/>
      <c r="E176" s="128"/>
      <c r="F176" s="128"/>
      <c r="G176" s="128"/>
      <c r="H176" s="128"/>
      <c r="I176" s="128"/>
      <c r="J176" s="128"/>
      <c r="K176" s="128"/>
    </row>
    <row r="177" spans="1:11" ht="12.75" customHeight="1" x14ac:dyDescent="0.3">
      <c r="A177" s="128"/>
      <c r="B177" s="128"/>
      <c r="C177" s="128"/>
      <c r="D177" s="128"/>
      <c r="E177" s="128"/>
      <c r="F177" s="128"/>
      <c r="G177" s="128"/>
      <c r="H177" s="128"/>
      <c r="I177" s="128"/>
      <c r="J177" s="128"/>
      <c r="K177" s="128"/>
    </row>
    <row r="178" spans="1:11" ht="12.75" customHeight="1" x14ac:dyDescent="0.3">
      <c r="A178" s="128"/>
      <c r="B178" s="128"/>
      <c r="C178" s="128"/>
      <c r="D178" s="128"/>
      <c r="E178" s="128"/>
      <c r="F178" s="128"/>
      <c r="G178" s="128"/>
      <c r="H178" s="128"/>
      <c r="I178" s="128"/>
      <c r="J178" s="128"/>
      <c r="K178" s="128"/>
    </row>
    <row r="179" spans="1:11" ht="12.75" customHeight="1" x14ac:dyDescent="0.3">
      <c r="A179" s="128"/>
      <c r="B179" s="128"/>
      <c r="C179" s="128"/>
      <c r="D179" s="128"/>
      <c r="E179" s="128"/>
      <c r="F179" s="128"/>
      <c r="G179" s="128"/>
      <c r="H179" s="128"/>
      <c r="I179" s="128"/>
      <c r="J179" s="128"/>
      <c r="K179" s="128"/>
    </row>
    <row r="180" spans="1:11" ht="12.75" customHeight="1" x14ac:dyDescent="0.3">
      <c r="A180" s="128"/>
      <c r="B180" s="128"/>
      <c r="C180" s="128"/>
      <c r="D180" s="128"/>
      <c r="E180" s="128"/>
      <c r="F180" s="128"/>
      <c r="G180" s="128"/>
      <c r="H180" s="128"/>
      <c r="I180" s="128"/>
      <c r="J180" s="128"/>
      <c r="K180" s="128"/>
    </row>
    <row r="181" spans="1:11" ht="12.75" customHeight="1" x14ac:dyDescent="0.3">
      <c r="A181" s="128"/>
      <c r="B181" s="128"/>
      <c r="C181" s="128"/>
      <c r="D181" s="128"/>
      <c r="E181" s="128"/>
      <c r="F181" s="128"/>
      <c r="G181" s="128"/>
      <c r="H181" s="128"/>
      <c r="I181" s="128"/>
      <c r="J181" s="128"/>
      <c r="K181" s="128"/>
    </row>
    <row r="182" spans="1:11" ht="12.75" customHeight="1" x14ac:dyDescent="0.3">
      <c r="A182" s="128"/>
      <c r="B182" s="128"/>
      <c r="C182" s="128"/>
      <c r="D182" s="128"/>
      <c r="E182" s="128"/>
      <c r="F182" s="128"/>
      <c r="G182" s="128"/>
      <c r="H182" s="128"/>
      <c r="I182" s="128"/>
      <c r="J182" s="128"/>
      <c r="K182" s="128"/>
    </row>
    <row r="183" spans="1:11" ht="12.75" customHeight="1" x14ac:dyDescent="0.3">
      <c r="A183" s="128"/>
      <c r="B183" s="128"/>
      <c r="C183" s="128"/>
      <c r="D183" s="128"/>
      <c r="E183" s="128"/>
      <c r="F183" s="128"/>
      <c r="G183" s="128"/>
      <c r="H183" s="128"/>
      <c r="I183" s="128"/>
      <c r="J183" s="128"/>
      <c r="K183" s="128"/>
    </row>
    <row r="184" spans="1:11" ht="12.75" customHeight="1" x14ac:dyDescent="0.3">
      <c r="A184" s="128"/>
      <c r="B184" s="128"/>
      <c r="C184" s="128"/>
      <c r="D184" s="128"/>
      <c r="E184" s="128"/>
      <c r="F184" s="128"/>
      <c r="G184" s="128"/>
      <c r="H184" s="128"/>
      <c r="I184" s="128"/>
      <c r="J184" s="128"/>
      <c r="K184" s="128"/>
    </row>
    <row r="185" spans="1:11" ht="12.75" customHeight="1" x14ac:dyDescent="0.3">
      <c r="A185" s="128"/>
      <c r="B185" s="128"/>
      <c r="C185" s="128"/>
      <c r="D185" s="128"/>
      <c r="E185" s="128"/>
      <c r="F185" s="128"/>
      <c r="G185" s="128"/>
      <c r="H185" s="128"/>
      <c r="I185" s="128"/>
      <c r="J185" s="128"/>
      <c r="K185" s="128"/>
    </row>
    <row r="186" spans="1:11" ht="12.75" customHeight="1" x14ac:dyDescent="0.3">
      <c r="A186" s="128"/>
      <c r="B186" s="128"/>
      <c r="C186" s="128"/>
      <c r="D186" s="128"/>
      <c r="E186" s="128"/>
      <c r="F186" s="128"/>
      <c r="G186" s="128"/>
      <c r="H186" s="128"/>
      <c r="I186" s="128"/>
      <c r="J186" s="128"/>
      <c r="K186" s="128"/>
    </row>
    <row r="187" spans="1:11" ht="12.75" customHeight="1" x14ac:dyDescent="0.3">
      <c r="A187" s="128"/>
      <c r="B187" s="128"/>
      <c r="C187" s="128"/>
      <c r="D187" s="128"/>
      <c r="E187" s="128"/>
      <c r="F187" s="128"/>
      <c r="G187" s="128"/>
      <c r="H187" s="128"/>
      <c r="I187" s="128"/>
      <c r="J187" s="128"/>
      <c r="K187" s="128"/>
    </row>
    <row r="188" spans="1:11" ht="12.75" customHeight="1" x14ac:dyDescent="0.3">
      <c r="A188" s="128"/>
      <c r="B188" s="128"/>
      <c r="C188" s="128"/>
      <c r="D188" s="128"/>
      <c r="E188" s="128"/>
      <c r="F188" s="128"/>
      <c r="G188" s="128"/>
      <c r="H188" s="128"/>
      <c r="I188" s="128"/>
      <c r="J188" s="128"/>
      <c r="K188" s="128"/>
    </row>
    <row r="189" spans="1:11" ht="12.75" customHeight="1" x14ac:dyDescent="0.3">
      <c r="A189" s="128"/>
      <c r="B189" s="128"/>
      <c r="C189" s="128"/>
      <c r="D189" s="128"/>
      <c r="E189" s="128"/>
      <c r="F189" s="128"/>
      <c r="G189" s="128"/>
      <c r="H189" s="128"/>
      <c r="I189" s="128"/>
      <c r="J189" s="128"/>
      <c r="K189" s="128"/>
    </row>
    <row r="190" spans="1:11" ht="12.75" customHeight="1" x14ac:dyDescent="0.3">
      <c r="A190" s="128"/>
      <c r="B190" s="128"/>
      <c r="C190" s="128"/>
      <c r="D190" s="128"/>
      <c r="E190" s="128"/>
      <c r="F190" s="128"/>
      <c r="G190" s="128"/>
      <c r="H190" s="128"/>
      <c r="I190" s="128"/>
      <c r="J190" s="128"/>
      <c r="K190" s="128"/>
    </row>
    <row r="191" spans="1:11" ht="12.75" customHeight="1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ht="12.75" customHeight="1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ht="12.75" customHeight="1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ht="12.75" customHeight="1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ht="12.75" customHeight="1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ht="12.75" customHeight="1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ht="12.75" customHeight="1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ht="12.75" customHeight="1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ht="12.75" customHeight="1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ht="12.75" customHeight="1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ht="12.75" customHeigh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ht="12.75" customHeigh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ht="12.75" customHeigh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ht="12.75" customHeigh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ht="12.75" customHeigh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ht="12.75" customHeigh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ht="12.75" customHeigh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ht="12.75" customHeigh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ht="12.75" customHeigh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ht="12.75" customHeigh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ht="12.75" customHeigh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ht="12.75" customHeigh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ht="12.75" customHeigh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ht="12.75" customHeigh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ht="12.75" customHeigh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ht="12.75" customHeigh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ht="12.75" customHeigh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ht="12.75" customHeigh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ht="12.75" customHeigh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ht="12.75" customHeigh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ht="12.75" customHeigh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ht="12.75" customHeigh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ht="12.75" customHeigh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ht="12.75" customHeigh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ht="12.75" customHeigh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ht="12.75" customHeigh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ht="12.75" customHeigh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ht="12.75" customHeigh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ht="12.75" customHeigh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ht="12.75" customHeigh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ht="12.75" customHeigh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ht="12.75" customHeigh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ht="12.75" customHeigh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ht="12.75" customHeigh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ht="12.75" customHeigh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ht="12.75" customHeigh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ht="12.75" customHeigh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ht="12.75" customHeigh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ht="12.75" customHeigh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ht="12.75" customHeigh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ht="12.75" customHeigh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ht="12.75" customHeigh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ht="12.75" customHeigh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ht="12.75" customHeigh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ht="12.75" customHeigh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ht="12.75" customHeigh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ht="12.75" customHeigh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ht="12.75" customHeigh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ht="12.75" customHeigh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ht="12.75" customHeigh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ht="12.75" customHeight="1" x14ac:dyDescent="0.3">
      <c r="A251"/>
      <c r="B251"/>
      <c r="C251"/>
      <c r="D251"/>
      <c r="E251"/>
      <c r="F251"/>
      <c r="G251"/>
      <c r="H251"/>
      <c r="I251"/>
      <c r="J251"/>
      <c r="K251"/>
    </row>
  </sheetData>
  <mergeCells count="42">
    <mergeCell ref="D1:H1"/>
    <mergeCell ref="D2:H2"/>
    <mergeCell ref="A5:B5"/>
    <mergeCell ref="C5:D5"/>
    <mergeCell ref="E5:F5"/>
    <mergeCell ref="G5:H5"/>
    <mergeCell ref="D3:H3"/>
    <mergeCell ref="A70:K70"/>
    <mergeCell ref="A81:K81"/>
    <mergeCell ref="C82:D82"/>
    <mergeCell ref="G82:I82"/>
    <mergeCell ref="J82:J83"/>
    <mergeCell ref="K82:K83"/>
    <mergeCell ref="G71:I71"/>
    <mergeCell ref="J71:J72"/>
    <mergeCell ref="K71:K72"/>
    <mergeCell ref="C71:D71"/>
    <mergeCell ref="A41:K41"/>
    <mergeCell ref="A69:K69"/>
    <mergeCell ref="A14:K14"/>
    <mergeCell ref="H6:I6"/>
    <mergeCell ref="J7:K7"/>
    <mergeCell ref="B9:C10"/>
    <mergeCell ref="D9:E10"/>
    <mergeCell ref="G9:H10"/>
    <mergeCell ref="I9:J10"/>
    <mergeCell ref="A154:E154"/>
    <mergeCell ref="G154:K154"/>
    <mergeCell ref="A172:E172"/>
    <mergeCell ref="G172:K172"/>
    <mergeCell ref="B43:B44"/>
    <mergeCell ref="C43:C44"/>
    <mergeCell ref="D43:D44"/>
    <mergeCell ref="F43:F44"/>
    <mergeCell ref="G43:G44"/>
    <mergeCell ref="H43:H44"/>
    <mergeCell ref="I43:I44"/>
    <mergeCell ref="J43:J44"/>
    <mergeCell ref="A92:E92"/>
    <mergeCell ref="G92:K92"/>
    <mergeCell ref="A136:E136"/>
    <mergeCell ref="G136:K136"/>
  </mergeCells>
  <conditionalFormatting sqref="H76 H87">
    <cfRule type="expression" dxfId="17" priority="26" stopIfTrue="1">
      <formula>$G$76&gt;$G$75</formula>
    </cfRule>
  </conditionalFormatting>
  <conditionalFormatting sqref="H78 H89">
    <cfRule type="expression" dxfId="16" priority="25" stopIfTrue="1">
      <formula>$G$78&gt;$G$77</formula>
    </cfRule>
  </conditionalFormatting>
  <conditionalFormatting sqref="H77 H88">
    <cfRule type="expression" dxfId="15" priority="24">
      <formula>$G$77&gt;$G$76</formula>
    </cfRule>
  </conditionalFormatting>
  <conditionalFormatting sqref="A86:K86 A75:K75">
    <cfRule type="expression" dxfId="14" priority="81">
      <formula>$A75=250</formula>
    </cfRule>
  </conditionalFormatting>
  <conditionalFormatting sqref="A88:K88 A77:K77">
    <cfRule type="expression" dxfId="13" priority="83" stopIfTrue="1">
      <formula>$A77=750</formula>
    </cfRule>
  </conditionalFormatting>
  <printOptions horizontalCentered="1" verticalCentered="1"/>
  <pageMargins left="3.937007874015748E-2" right="3.937007874015748E-2" top="0.15748031496062992" bottom="0.15748031496062992" header="0.19685039370078741" footer="0.19685039370078741"/>
  <pageSetup paperSize="9" scale="9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Export2PDF">
                <anchor moveWithCells="1" sizeWithCells="1">
                  <from>
                    <xdr:col>13</xdr:col>
                    <xdr:colOff>426720</xdr:colOff>
                    <xdr:row>6</xdr:row>
                    <xdr:rowOff>22860</xdr:rowOff>
                  </from>
                  <to>
                    <xdr:col>15</xdr:col>
                    <xdr:colOff>388620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9"/>
    <pageSetUpPr fitToPage="1"/>
  </sheetPr>
  <dimension ref="A1:V256"/>
  <sheetViews>
    <sheetView view="pageBreakPreview" topLeftCell="A24" zoomScale="85" zoomScaleNormal="115" zoomScaleSheetLayoutView="85" zoomScalePageLayoutView="85" workbookViewId="0">
      <selection activeCell="P62" sqref="P62"/>
    </sheetView>
  </sheetViews>
  <sheetFormatPr defaultColWidth="9.33203125" defaultRowHeight="12.75" customHeight="1" x14ac:dyDescent="0.3"/>
  <cols>
    <col min="1" max="7" width="9.33203125" style="124"/>
    <col min="8" max="8" width="9.33203125" style="124" customWidth="1"/>
    <col min="9" max="9" width="9.33203125" style="124"/>
    <col min="10" max="10" width="10.44140625" style="124" customWidth="1"/>
    <col min="11" max="11" width="7.44140625" style="124" customWidth="1"/>
    <col min="12" max="16384" width="9.33203125" style="124"/>
  </cols>
  <sheetData>
    <row r="1" spans="1:21" ht="18.75" customHeight="1" x14ac:dyDescent="0.3">
      <c r="A1" s="123"/>
      <c r="B1" s="123"/>
      <c r="C1" s="123"/>
      <c r="D1" s="331" t="s">
        <v>292</v>
      </c>
      <c r="E1" s="331"/>
      <c r="F1" s="331"/>
      <c r="G1" s="331"/>
      <c r="H1" s="331"/>
      <c r="I1" s="123"/>
      <c r="J1" s="123"/>
      <c r="K1" s="123"/>
      <c r="M1" s="124" t="s">
        <v>188</v>
      </c>
    </row>
    <row r="2" spans="1:21" ht="18.75" customHeight="1" x14ac:dyDescent="0.3">
      <c r="A2" s="123"/>
      <c r="B2" s="123"/>
      <c r="C2" s="123"/>
      <c r="D2" s="295" t="str">
        <f>CONCATENATE('Event SetUp'!D8," ",'Event SetUp'!D9," ",TEXT('1'!$G$12,"yyyy"))</f>
        <v>Grand Prix 2 SIRC 2020</v>
      </c>
      <c r="E2" s="295"/>
      <c r="F2" s="295"/>
      <c r="G2" s="295"/>
      <c r="H2" s="295"/>
      <c r="I2" s="123"/>
      <c r="J2" s="123"/>
      <c r="K2" s="123"/>
      <c r="M2" s="124" t="str">
        <f>CONCATENATE('Event SetUp'!C23, "_", '3'!$D$17)</f>
        <v>Fletcher Cunningham_Grand Prix 2_20200215_MK1_Senior_1000_A Final</v>
      </c>
    </row>
    <row r="3" spans="1:21" ht="18.75" customHeight="1" x14ac:dyDescent="0.3">
      <c r="A3" s="123"/>
      <c r="B3" s="123"/>
      <c r="C3" s="123"/>
      <c r="D3" s="296" t="str">
        <f>'Event SetUp'!D2&amp;" - "&amp;'Event SetUp'!$G$15&amp;" "&amp;'3'!$D$17&amp;" "&amp;"("&amp;'Event SetUp'!D13&amp;")"</f>
        <v>Fletcher Cunningham - K1 1000 A Final (Senior)</v>
      </c>
      <c r="E3" s="296"/>
      <c r="F3" s="296"/>
      <c r="G3" s="296"/>
      <c r="H3" s="296"/>
      <c r="I3" s="123"/>
      <c r="J3" s="123"/>
      <c r="K3" s="123"/>
    </row>
    <row r="4" spans="1:21" ht="6" customHeight="1" x14ac:dyDescent="0.3">
      <c r="A4" s="126"/>
      <c r="B4" s="126"/>
      <c r="C4" s="126"/>
      <c r="D4" s="121"/>
      <c r="E4" s="121"/>
      <c r="F4" s="121"/>
      <c r="G4" s="121"/>
      <c r="H4" s="121"/>
      <c r="I4" s="126"/>
      <c r="J4" s="126"/>
      <c r="K4" s="126"/>
      <c r="M4" s="124">
        <f>IF(B65=200, (B65/4), 250)</f>
        <v>250</v>
      </c>
      <c r="O4" s="125"/>
      <c r="P4" s="125"/>
      <c r="U4" s="125"/>
    </row>
    <row r="5" spans="1:21" ht="14.4" x14ac:dyDescent="0.3">
      <c r="A5" s="301" t="str">
        <f>IF('Event SetUp'!D3="", "Seat 1: ","Seat 1: "&amp;'Event SetUp'!D3)</f>
        <v>Seat 1: Fletcher Cunningham</v>
      </c>
      <c r="B5" s="302"/>
      <c r="C5" s="299" t="str">
        <f>IF('Event SetUp'!D4="", "Seat 2: ","Seat 2: "&amp;'Event SetUp'!D4)</f>
        <v xml:space="preserve">Seat 2: </v>
      </c>
      <c r="D5" s="300"/>
      <c r="E5" s="301" t="str">
        <f>IF('Event SetUp'!D5="", "Seat 3: ","Seat 3: "&amp;'Event SetUp'!D5)</f>
        <v xml:space="preserve">Seat 3: </v>
      </c>
      <c r="F5" s="302"/>
      <c r="G5" s="299" t="str">
        <f>IF('Event SetUp'!D6="", "Seat 4: ","Seat 4: "&amp;'Event SetUp'!D6)</f>
        <v xml:space="preserve">Seat 4: </v>
      </c>
      <c r="H5" s="300"/>
      <c r="I5" s="193" t="s">
        <v>134</v>
      </c>
      <c r="J5" s="202">
        <f>'3'!$D$18</f>
        <v>1</v>
      </c>
      <c r="M5" s="127"/>
      <c r="O5" s="125"/>
      <c r="P5" s="125"/>
      <c r="Q5" s="125"/>
      <c r="R5" s="125"/>
      <c r="S5" s="125"/>
      <c r="T5" s="125"/>
      <c r="U5" s="125"/>
    </row>
    <row r="6" spans="1:21" ht="6" customHeight="1" x14ac:dyDescent="0.3">
      <c r="B6" s="197"/>
      <c r="C6"/>
      <c r="D6" s="194"/>
      <c r="F6" s="194"/>
      <c r="H6" s="297"/>
      <c r="I6" s="298"/>
      <c r="J6" s="194"/>
      <c r="O6" s="125"/>
      <c r="P6" s="125"/>
      <c r="Q6" s="125"/>
      <c r="R6" s="125"/>
      <c r="S6" s="125"/>
      <c r="T6" s="125"/>
      <c r="U6" s="125"/>
    </row>
    <row r="7" spans="1:21" ht="14.4" x14ac:dyDescent="0.3">
      <c r="A7" s="195" t="s">
        <v>265</v>
      </c>
      <c r="B7" s="196">
        <f>Enviromentals!D32</f>
        <v>0</v>
      </c>
      <c r="C7" s="195" t="s">
        <v>266</v>
      </c>
      <c r="D7" s="196">
        <f>Enviromentals!H32</f>
        <v>0</v>
      </c>
      <c r="E7" s="195" t="s">
        <v>262</v>
      </c>
      <c r="F7" s="196">
        <f>Enviromentals!D35</f>
        <v>0</v>
      </c>
      <c r="G7" s="195" t="s">
        <v>263</v>
      </c>
      <c r="H7" s="186" t="str">
        <f>Enviromentals!H35</f>
        <v>Head</v>
      </c>
      <c r="I7" s="195" t="s">
        <v>264</v>
      </c>
      <c r="J7" s="304" t="str">
        <f>Enviromentals!D39&amp;" - "&amp;Enviromentals!H39</f>
        <v xml:space="preserve"> - Salt</v>
      </c>
      <c r="K7" s="305"/>
      <c r="O7" s="125"/>
      <c r="P7" s="125"/>
      <c r="Q7" s="125"/>
      <c r="R7" s="125"/>
      <c r="S7" s="125"/>
      <c r="T7" s="125"/>
      <c r="U7" s="125"/>
    </row>
    <row r="8" spans="1:21" ht="6" customHeight="1" x14ac:dyDescent="0.3">
      <c r="A8" s="126"/>
      <c r="D8" s="188"/>
      <c r="H8" s="194"/>
      <c r="I8"/>
      <c r="J8" s="192"/>
      <c r="O8" s="125"/>
      <c r="P8" s="125"/>
      <c r="Q8" s="125"/>
      <c r="R8" s="125"/>
      <c r="S8" s="125"/>
      <c r="T8" s="125"/>
      <c r="U8" s="125"/>
    </row>
    <row r="9" spans="1:21" ht="11.25" customHeight="1" x14ac:dyDescent="0.3">
      <c r="B9" s="327" t="s">
        <v>135</v>
      </c>
      <c r="C9" s="328"/>
      <c r="D9" s="309" t="str">
        <f>'3'!$D$19</f>
        <v>1st</v>
      </c>
      <c r="E9" s="310"/>
      <c r="G9" s="317" t="s">
        <v>136</v>
      </c>
      <c r="H9" s="318"/>
      <c r="I9" s="313">
        <f>IF('3'!$D$23=" ",0,'3'!$D$23)</f>
        <v>2.4349537037037035E-3</v>
      </c>
      <c r="J9" s="314"/>
      <c r="K9" s="128"/>
      <c r="O9" s="125"/>
      <c r="P9" s="125"/>
      <c r="Q9" s="125"/>
      <c r="R9" s="125"/>
      <c r="S9" s="125"/>
      <c r="T9" s="125"/>
      <c r="U9" s="125"/>
    </row>
    <row r="10" spans="1:21" ht="11.25" customHeight="1" x14ac:dyDescent="0.3">
      <c r="B10" s="329"/>
      <c r="C10" s="330"/>
      <c r="D10" s="311"/>
      <c r="E10" s="312"/>
      <c r="G10" s="319"/>
      <c r="H10" s="320"/>
      <c r="I10" s="315"/>
      <c r="J10" s="316"/>
      <c r="K10" s="129"/>
      <c r="L10" s="128"/>
      <c r="O10" s="125"/>
      <c r="P10" s="125"/>
      <c r="Q10" s="125"/>
      <c r="R10" s="125"/>
      <c r="S10" s="125"/>
      <c r="T10" s="125"/>
      <c r="U10" s="125"/>
    </row>
    <row r="11" spans="1:21" ht="6" customHeight="1" x14ac:dyDescent="0.3">
      <c r="B11" s="126"/>
      <c r="I11" s="126"/>
      <c r="J11" s="128"/>
      <c r="K11" s="128"/>
      <c r="O11" s="125"/>
      <c r="P11" s="125"/>
      <c r="Q11" s="125"/>
      <c r="R11" s="125"/>
      <c r="S11" s="125"/>
      <c r="T11" s="125"/>
      <c r="U11" s="125"/>
    </row>
    <row r="12" spans="1:21" ht="15" customHeight="1" x14ac:dyDescent="0.3">
      <c r="B12" s="243" t="s">
        <v>137</v>
      </c>
      <c r="C12" s="242">
        <f>IF('3'!$D$24=" ",0,'3'!$D$24)</f>
        <v>2.4120370370370368E-3</v>
      </c>
      <c r="D12" s="244" t="s">
        <v>138</v>
      </c>
      <c r="E12" s="245">
        <f>($I$9/$C$12)</f>
        <v>1.0095009596928983</v>
      </c>
      <c r="F12" s="126"/>
      <c r="G12" s="246" t="s">
        <v>261</v>
      </c>
      <c r="H12" s="247">
        <f>IF('Event SetUp'!$H$14=" ",0,'Event SetUp'!$H$14)</f>
        <v>2.3981799768518519E-3</v>
      </c>
      <c r="I12" s="248" t="s">
        <v>260</v>
      </c>
      <c r="J12" s="249">
        <f>($I$9/$H$12)</f>
        <v>1.0153340146305971</v>
      </c>
    </row>
    <row r="13" spans="1:21" ht="6" customHeight="1" x14ac:dyDescent="0.3">
      <c r="B13"/>
      <c r="C13"/>
      <c r="D13"/>
      <c r="E13"/>
      <c r="F13"/>
      <c r="G13"/>
      <c r="H13"/>
      <c r="I13"/>
      <c r="J13"/>
    </row>
    <row r="14" spans="1:21" ht="14.4" x14ac:dyDescent="0.3">
      <c r="A14" s="303" t="s">
        <v>287</v>
      </c>
      <c r="B14" s="303"/>
      <c r="C14" s="303"/>
      <c r="D14" s="303"/>
      <c r="E14" s="303"/>
      <c r="F14" s="303"/>
      <c r="G14" s="303"/>
      <c r="H14" s="303"/>
      <c r="I14" s="303"/>
      <c r="J14" s="303"/>
      <c r="K14" s="303"/>
      <c r="M14" s="124" t="s">
        <v>180</v>
      </c>
      <c r="P14" s="124" t="s">
        <v>240</v>
      </c>
      <c r="R14" s="124" t="s">
        <v>238</v>
      </c>
      <c r="T14" s="124" t="s">
        <v>241</v>
      </c>
    </row>
    <row r="15" spans="1:21" ht="12.75" customHeight="1" x14ac:dyDescent="0.3">
      <c r="A15" s="128"/>
      <c r="B15" s="67"/>
      <c r="C15" s="67"/>
      <c r="D15" s="67"/>
      <c r="E15" s="67"/>
      <c r="F15" s="67"/>
      <c r="G15" s="67"/>
      <c r="H15" s="67"/>
      <c r="I15" s="67"/>
      <c r="J15" s="67"/>
      <c r="K15" s="128"/>
      <c r="M15" s="130" t="s">
        <v>174</v>
      </c>
      <c r="N15" s="124">
        <f>B45</f>
        <v>0</v>
      </c>
      <c r="P15" s="131">
        <f>'Event SetUp'!$I$14</f>
        <v>4.8261907720819339</v>
      </c>
      <c r="Q15" s="124">
        <f>P15*3.6</f>
        <v>17.374286779494962</v>
      </c>
      <c r="R15" s="131">
        <f>N16/(C12*86400)</f>
        <v>0</v>
      </c>
      <c r="S15" s="124">
        <f>R15*3.6</f>
        <v>0</v>
      </c>
      <c r="T15" s="131" t="e">
        <f>N16/(C65*86400)</f>
        <v>#DIV/0!</v>
      </c>
      <c r="U15" s="124" t="e">
        <f>T15*3.6</f>
        <v>#DIV/0!</v>
      </c>
    </row>
    <row r="16" spans="1:21" ht="12.75" customHeight="1" x14ac:dyDescent="0.3">
      <c r="A16" s="128"/>
      <c r="B16" s="67"/>
      <c r="C16" s="67"/>
      <c r="D16" s="67"/>
      <c r="E16" s="67"/>
      <c r="F16" s="67"/>
      <c r="G16" s="67"/>
      <c r="H16" s="67"/>
      <c r="I16" s="67"/>
      <c r="J16" s="67"/>
      <c r="K16" s="128"/>
      <c r="L16" s="128"/>
      <c r="M16" s="130" t="s">
        <v>175</v>
      </c>
      <c r="N16" s="124">
        <f>(B65)</f>
        <v>0</v>
      </c>
      <c r="P16" s="131">
        <f>'Event SetUp'!$I$14</f>
        <v>4.8261907720819339</v>
      </c>
      <c r="Q16" s="124">
        <f>P16*3.6</f>
        <v>17.374286779494962</v>
      </c>
      <c r="R16" s="131">
        <f>$R$15</f>
        <v>0</v>
      </c>
      <c r="S16" s="124">
        <f>R16*3.6</f>
        <v>0</v>
      </c>
      <c r="T16" s="131" t="e">
        <f>$T$15</f>
        <v>#DIV/0!</v>
      </c>
      <c r="U16" s="124" t="e">
        <f>T16*3.6</f>
        <v>#DIV/0!</v>
      </c>
    </row>
    <row r="17" spans="1:19" ht="12.75" customHeight="1" x14ac:dyDescent="0.3">
      <c r="A17" s="129"/>
      <c r="B17" s="128"/>
      <c r="C17" s="128"/>
      <c r="D17" s="128"/>
      <c r="E17" s="129"/>
      <c r="F17" s="129"/>
      <c r="G17" s="129"/>
      <c r="H17" s="129"/>
      <c r="I17" s="129"/>
      <c r="J17" s="129"/>
      <c r="K17" s="128"/>
      <c r="L17" s="128"/>
      <c r="M17" s="124" t="s">
        <v>181</v>
      </c>
      <c r="N17" s="124">
        <f>IF(N16&gt;200,N16/10,N16/8)</f>
        <v>0</v>
      </c>
    </row>
    <row r="18" spans="1:19" ht="12.75" customHeight="1" x14ac:dyDescent="0.3">
      <c r="A18" s="128"/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4" t="s">
        <v>182</v>
      </c>
      <c r="N18" s="124">
        <f>IF(N16&gt;200, N17/2, 10)</f>
        <v>10</v>
      </c>
      <c r="P18" s="124" t="s">
        <v>280</v>
      </c>
    </row>
    <row r="19" spans="1:19" ht="12.75" customHeight="1" x14ac:dyDescent="0.3">
      <c r="A19" s="128"/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30" t="s">
        <v>176</v>
      </c>
      <c r="N19" s="131">
        <f>P29</f>
        <v>0</v>
      </c>
      <c r="P19" s="132" t="e">
        <f>G76</f>
        <v>#N/A</v>
      </c>
      <c r="Q19" s="131" t="e">
        <f>(P19*86400)-($P$23*86400)</f>
        <v>#N/A</v>
      </c>
    </row>
    <row r="20" spans="1:19" ht="12.75" customHeight="1" x14ac:dyDescent="0.3">
      <c r="A20" s="128"/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30" t="s">
        <v>177</v>
      </c>
      <c r="N20" s="131">
        <f>IF(P30&gt;S15,P30,S15+(S15*0.02))</f>
        <v>0</v>
      </c>
      <c r="P20" s="132" t="e">
        <f>G77</f>
        <v>#N/A</v>
      </c>
      <c r="Q20" s="131" t="e">
        <f t="shared" ref="Q20:Q22" si="0">(P20*86400)-($P$23*86400)</f>
        <v>#N/A</v>
      </c>
    </row>
    <row r="21" spans="1:19" ht="12.75" customHeight="1" x14ac:dyDescent="0.3">
      <c r="A21" s="128"/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4" t="s">
        <v>183</v>
      </c>
      <c r="N21" s="124">
        <v>1</v>
      </c>
      <c r="P21" s="132" t="str">
        <f>G78</f>
        <v xml:space="preserve"> </v>
      </c>
      <c r="Q21" s="131" t="e">
        <f t="shared" si="0"/>
        <v>#VALUE!</v>
      </c>
    </row>
    <row r="22" spans="1:19" ht="12.75" customHeight="1" x14ac:dyDescent="0.3">
      <c r="A22" s="128"/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4" t="s">
        <v>184</v>
      </c>
      <c r="N22" s="124">
        <v>0.5</v>
      </c>
      <c r="P22" s="132" t="str">
        <f>G79</f>
        <v xml:space="preserve"> </v>
      </c>
      <c r="Q22" s="131" t="e">
        <f t="shared" si="0"/>
        <v>#VALUE!</v>
      </c>
    </row>
    <row r="23" spans="1:19" ht="12.75" customHeight="1" x14ac:dyDescent="0.3">
      <c r="A23" s="128"/>
      <c r="B23" s="128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30" t="s">
        <v>178</v>
      </c>
      <c r="N23" s="133">
        <f>'Event SetUp'!$I$12</f>
        <v>80</v>
      </c>
      <c r="P23" s="132" t="e">
        <f>G80</f>
        <v>#N/A</v>
      </c>
    </row>
    <row r="24" spans="1:19" ht="12.75" customHeight="1" x14ac:dyDescent="0.3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30" t="s">
        <v>179</v>
      </c>
      <c r="N24" s="133">
        <f>'Event SetUp'!$J$12</f>
        <v>140</v>
      </c>
    </row>
    <row r="25" spans="1:19" ht="12.75" customHeight="1" x14ac:dyDescent="0.3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4" t="s">
        <v>185</v>
      </c>
      <c r="N25" s="124">
        <v>5</v>
      </c>
    </row>
    <row r="26" spans="1:19" ht="12.75" customHeight="1" x14ac:dyDescent="0.3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4" t="s">
        <v>186</v>
      </c>
      <c r="N26" s="124">
        <v>1</v>
      </c>
    </row>
    <row r="27" spans="1:19" ht="12.75" customHeight="1" x14ac:dyDescent="0.3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</row>
    <row r="28" spans="1:19" ht="12.75" customHeight="1" x14ac:dyDescent="0.3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34"/>
      <c r="N28" s="135" t="s">
        <v>281</v>
      </c>
      <c r="O28" s="135"/>
      <c r="P28" s="136" t="s">
        <v>282</v>
      </c>
      <c r="Q28" s="134"/>
      <c r="R28" s="134"/>
    </row>
    <row r="29" spans="1:19" ht="12.75" customHeight="1" x14ac:dyDescent="0.3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34"/>
      <c r="N29" s="137" t="s">
        <v>283</v>
      </c>
      <c r="O29" s="138">
        <f t="array" ref="O29">MIN(IF(ISNUMBER(F46:F65),F46:F65))</f>
        <v>0</v>
      </c>
      <c r="P29" s="138">
        <f>ROUND(O29-(O29*0.04),0)</f>
        <v>0</v>
      </c>
      <c r="Q29" s="138"/>
      <c r="R29" s="139" t="str">
        <f>setChartAxis("Rpt-3","Chart 1","Min","Value","Primary",P29)</f>
        <v>Value Primary Min: 0</v>
      </c>
    </row>
    <row r="30" spans="1:19" ht="12.75" customHeight="1" x14ac:dyDescent="0.3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34"/>
      <c r="N30" s="137" t="s">
        <v>284</v>
      </c>
      <c r="O30" s="138">
        <f t="array" ref="O30">MAX(IF(ISNUMBER(F46:F65),F46:F65))</f>
        <v>0</v>
      </c>
      <c r="P30" s="138">
        <f>ROUND(O30+(O30*0.05),0)</f>
        <v>0</v>
      </c>
      <c r="Q30" s="138"/>
      <c r="R30" s="139" t="str">
        <f>setChartAxis("Rpt-3","Chart 1","Max","Value","Primary",P30)</f>
        <v>Value Primary Max: 0</v>
      </c>
    </row>
    <row r="31" spans="1:19" ht="12.75" customHeight="1" x14ac:dyDescent="0.3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</row>
    <row r="32" spans="1:19" ht="12.75" customHeight="1" x14ac:dyDescent="0.3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N32" s="135" t="s">
        <v>281</v>
      </c>
      <c r="O32" s="135"/>
      <c r="P32" s="136" t="s">
        <v>282</v>
      </c>
      <c r="Q32" s="134"/>
      <c r="R32" s="134"/>
      <c r="S32" s="134"/>
    </row>
    <row r="33" spans="1:19" ht="12.75" customHeight="1" x14ac:dyDescent="0.3">
      <c r="A33" s="128"/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N33" s="137" t="s">
        <v>283</v>
      </c>
      <c r="O33" s="138">
        <f t="array" ref="O33">MIN(IF(F46:F65&lt;&gt;0,F46:F65))</f>
        <v>0</v>
      </c>
      <c r="P33" s="138">
        <f>ROUND(O33-(O33*0.04),0)</f>
        <v>0</v>
      </c>
      <c r="Q33" s="138"/>
      <c r="R33" s="139" t="str">
        <f t="array" ref="R33">setChartAxis("Rpt-3","Chart 1","Min","Value","Primary",P33)</f>
        <v>Value Primary Min: 0</v>
      </c>
      <c r="S33" s="134"/>
    </row>
    <row r="34" spans="1:19" ht="12.75" customHeight="1" x14ac:dyDescent="0.3">
      <c r="A34" s="128"/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N34" s="137" t="s">
        <v>284</v>
      </c>
      <c r="O34" s="138">
        <f t="array" ref="O34">MAX(IF(F46:F65&lt;&gt;0,F46:F65))</f>
        <v>0</v>
      </c>
      <c r="P34" s="138">
        <f>ROUND(O34+(O34*0.05),0)</f>
        <v>0</v>
      </c>
      <c r="Q34" s="138"/>
      <c r="R34" s="139" t="str">
        <f t="array" ref="R34">setChartAxis("Rpt-3","Chart 1","Max","Value","Primary",P34)</f>
        <v>Value Primary Max: 0</v>
      </c>
      <c r="S34" s="134"/>
    </row>
    <row r="35" spans="1:19" ht="12.75" customHeight="1" x14ac:dyDescent="0.3">
      <c r="A35" s="128"/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N35" s="137" t="s">
        <v>283</v>
      </c>
      <c r="O35" s="138"/>
      <c r="P35" s="138">
        <f>N15</f>
        <v>0</v>
      </c>
      <c r="Q35" s="138"/>
      <c r="R35" s="139" t="str">
        <f t="array" ref="R35">setChartAxis("Rpt-3","Chart 1","Min","Category","Primary",P35)</f>
        <v>Category Primary Min: 0</v>
      </c>
      <c r="S35" s="134"/>
    </row>
    <row r="36" spans="1:19" ht="12.75" customHeight="1" x14ac:dyDescent="0.3">
      <c r="A36" s="128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N36" s="137" t="s">
        <v>284</v>
      </c>
      <c r="O36" s="138"/>
      <c r="P36" s="138">
        <f>N16</f>
        <v>0</v>
      </c>
      <c r="Q36" s="138"/>
      <c r="R36" s="139" t="str">
        <f t="array" ref="R36">setChartAxis("Rpt-3","Chart 1","Max","Category","Primary",P36)</f>
        <v>Category Primary Max: 0</v>
      </c>
      <c r="S36" s="134"/>
    </row>
    <row r="37" spans="1:19" ht="12.75" customHeight="1" x14ac:dyDescent="0.3">
      <c r="A37" s="128"/>
      <c r="B37" s="128"/>
      <c r="C37" s="128"/>
      <c r="D37" s="128"/>
      <c r="E37" s="128"/>
      <c r="F37" s="128"/>
      <c r="G37" s="128"/>
      <c r="H37" s="128"/>
      <c r="I37" s="128"/>
      <c r="J37" s="128"/>
      <c r="K37" s="128"/>
      <c r="L37" s="128"/>
      <c r="N37" s="137" t="s">
        <v>283</v>
      </c>
      <c r="O37" s="138">
        <f t="array" ref="O37">MIN(IF(H46:H65&lt;&gt;0,H46:H65))</f>
        <v>0</v>
      </c>
      <c r="P37" s="138">
        <f>ROUND(O37-(O37*0.04),0)</f>
        <v>0</v>
      </c>
      <c r="Q37" s="138"/>
      <c r="R37" s="139" t="str">
        <f t="array" ref="R37">setChartAxis("Rpt-3","Chart 1","Min","Value","Secondary",P37)</f>
        <v>Value Secondary Min: 0</v>
      </c>
      <c r="S37" s="134"/>
    </row>
    <row r="38" spans="1:19" ht="12.75" customHeight="1" x14ac:dyDescent="0.3">
      <c r="A38" s="128"/>
      <c r="B38" s="128"/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N38" s="137" t="s">
        <v>284</v>
      </c>
      <c r="O38" s="138">
        <f t="array" ref="O38">MAX(IF(H46:H65&lt;&gt;0,H46:H65))</f>
        <v>0</v>
      </c>
      <c r="P38" s="138">
        <f>ROUND(O38+(O38*0.05),0)</f>
        <v>0</v>
      </c>
      <c r="Q38" s="138"/>
      <c r="R38" s="139" t="str">
        <f t="array" ref="R38">setChartAxis("Rpt-3","Chart 1","Max","Value","Secondary",P38)</f>
        <v>Value Secondary Max: 0</v>
      </c>
      <c r="S38" s="134"/>
    </row>
    <row r="39" spans="1:19" ht="12.75" customHeight="1" x14ac:dyDescent="0.3">
      <c r="A39" s="128"/>
      <c r="B39" s="128"/>
      <c r="C39" s="128"/>
      <c r="D39" s="128"/>
      <c r="E39" s="128"/>
      <c r="F39" s="128"/>
      <c r="G39" s="128"/>
      <c r="H39" s="128"/>
      <c r="I39" s="128"/>
      <c r="J39" s="128"/>
      <c r="K39" s="128"/>
      <c r="L39" s="128"/>
    </row>
    <row r="40" spans="1:19" ht="12.75" customHeight="1" x14ac:dyDescent="0.3">
      <c r="A40" s="128"/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</row>
    <row r="41" spans="1:19" ht="14.4" x14ac:dyDescent="0.3">
      <c r="A41" s="303" t="s">
        <v>288</v>
      </c>
      <c r="B41" s="303"/>
      <c r="C41" s="303"/>
      <c r="D41" s="303"/>
      <c r="E41" s="303"/>
      <c r="F41" s="303"/>
      <c r="G41" s="303"/>
      <c r="H41" s="303"/>
      <c r="I41" s="303"/>
      <c r="J41" s="303"/>
      <c r="K41" s="303"/>
      <c r="L41" s="128"/>
    </row>
    <row r="42" spans="1:19" ht="6" customHeight="1" x14ac:dyDescent="0.3">
      <c r="N42" s="137" t="s">
        <v>283</v>
      </c>
      <c r="O42" s="138"/>
      <c r="P42" s="138">
        <f>MIN(P33,'Rpt-2'!P32,'Rpt-1'!$O$31)</f>
        <v>0</v>
      </c>
      <c r="Q42" s="138"/>
      <c r="R42" s="139" t="str">
        <f t="array" ref="R42">setChartAxis("Rpt-3","Chart 2","Min","Value","Primary",P42)</f>
        <v>Value Primary Min: 0</v>
      </c>
      <c r="S42" s="134"/>
    </row>
    <row r="43" spans="1:19" ht="12.75" customHeight="1" x14ac:dyDescent="0.3">
      <c r="B43" s="321" t="s">
        <v>139</v>
      </c>
      <c r="C43" s="323" t="s">
        <v>140</v>
      </c>
      <c r="D43" s="325" t="s">
        <v>141</v>
      </c>
      <c r="E43" s="214"/>
      <c r="F43" s="325" t="s">
        <v>143</v>
      </c>
      <c r="G43" s="325" t="str">
        <f>CONCATENATE(B65," ", "m ", " ", "Pace")</f>
        <v>0 m  Pace</v>
      </c>
      <c r="H43" s="325" t="s">
        <v>142</v>
      </c>
      <c r="I43" s="325" t="str">
        <f>IF(B65=200," ","eWPS")</f>
        <v>eWPS</v>
      </c>
      <c r="J43" s="325" t="s">
        <v>154</v>
      </c>
      <c r="N43" s="137" t="s">
        <v>284</v>
      </c>
      <c r="O43" s="138"/>
      <c r="P43" s="138">
        <f>MAX(P34,'Rpt-2'!P33,'Rpt-1'!$O$32)</f>
        <v>20</v>
      </c>
      <c r="Q43" s="138"/>
      <c r="R43" s="139" t="str">
        <f t="array" ref="R43">setChartAxis("Rpt-3","Chart 2","Max","Value","Primary",P43)</f>
        <v>Value Primary Max: 20</v>
      </c>
      <c r="S43" s="134"/>
    </row>
    <row r="44" spans="1:19" ht="12.75" customHeight="1" x14ac:dyDescent="0.3">
      <c r="B44" s="322"/>
      <c r="C44" s="324"/>
      <c r="D44" s="326"/>
      <c r="E44" s="215"/>
      <c r="F44" s="326"/>
      <c r="G44" s="326"/>
      <c r="H44" s="326"/>
      <c r="I44" s="326"/>
      <c r="J44" s="326"/>
      <c r="N44" s="137" t="s">
        <v>283</v>
      </c>
      <c r="O44" s="138"/>
      <c r="P44" s="138">
        <f>N15</f>
        <v>0</v>
      </c>
      <c r="Q44" s="138"/>
      <c r="R44" s="139" t="str">
        <f t="array" ref="R44">setChartAxis("Rpt-3","Chart 2","Min","Category","Primary",P44)</f>
        <v>Category Primary Min: 0</v>
      </c>
      <c r="S44" s="134"/>
    </row>
    <row r="45" spans="1:19" ht="12.75" customHeight="1" x14ac:dyDescent="0.3">
      <c r="B45" s="216">
        <v>0</v>
      </c>
      <c r="C45" s="217">
        <v>0</v>
      </c>
      <c r="D45" s="218">
        <v>0</v>
      </c>
      <c r="E45" s="218"/>
      <c r="F45" s="218">
        <v>0</v>
      </c>
      <c r="G45" s="218">
        <v>0</v>
      </c>
      <c r="H45" s="218">
        <v>0</v>
      </c>
      <c r="I45" s="218"/>
      <c r="J45" s="219"/>
      <c r="N45" s="137" t="s">
        <v>284</v>
      </c>
      <c r="O45" s="138"/>
      <c r="P45" s="138">
        <f>N16</f>
        <v>0</v>
      </c>
      <c r="Q45" s="138"/>
      <c r="R45" s="139" t="str">
        <f t="array" ref="R45">setChartAxis("Rpt-3","Chart 2","Max","Category","Primary",P45)</f>
        <v>Category Primary Max: 0</v>
      </c>
      <c r="S45" s="134"/>
    </row>
    <row r="46" spans="1:19" ht="12.75" customHeight="1" x14ac:dyDescent="0.3">
      <c r="B46" s="205">
        <f>'3'!J38</f>
        <v>0</v>
      </c>
      <c r="C46" s="49">
        <f>IF('3'!K38&gt;1, ('3'!K38/86400), '3'!K38)</f>
        <v>0</v>
      </c>
      <c r="D46" s="50">
        <f>'3'!L38</f>
        <v>0</v>
      </c>
      <c r="E46" s="50"/>
      <c r="F46" s="51">
        <f>'3'!M38*3.6</f>
        <v>0</v>
      </c>
      <c r="G46" s="49" t="e">
        <f t="shared" ref="G46:G65" si="1">(D46*(B$65/$B$46)/86400)</f>
        <v>#DIV/0!</v>
      </c>
      <c r="H46" s="52">
        <f>'3'!N38</f>
        <v>0</v>
      </c>
      <c r="I46" s="51" t="e">
        <f>IF('3'!M38=200, " ",('3'!M38^3)/(H46/60))</f>
        <v>#DIV/0!</v>
      </c>
      <c r="J46" s="206" t="e">
        <f>'3'!M38/(H46/60)</f>
        <v>#DIV/0!</v>
      </c>
    </row>
    <row r="47" spans="1:19" ht="12.75" customHeight="1" x14ac:dyDescent="0.3">
      <c r="B47" s="205">
        <f>'3'!J39</f>
        <v>0</v>
      </c>
      <c r="C47" s="49">
        <f>IF('3'!K39&gt;1, ('3'!K39/86400), '3'!K39)</f>
        <v>0</v>
      </c>
      <c r="D47" s="50">
        <f>'3'!L39</f>
        <v>0</v>
      </c>
      <c r="E47" s="50"/>
      <c r="F47" s="51">
        <f>'3'!M39*3.6</f>
        <v>0</v>
      </c>
      <c r="G47" s="49" t="e">
        <f t="shared" si="1"/>
        <v>#DIV/0!</v>
      </c>
      <c r="H47" s="52">
        <f>'3'!N39</f>
        <v>0</v>
      </c>
      <c r="I47" s="51" t="e">
        <f>IF('3'!M39=200, " ",('3'!M39^3)/(H47/60))</f>
        <v>#DIV/0!</v>
      </c>
      <c r="J47" s="206" t="e">
        <f>'3'!M39/(H47/60)</f>
        <v>#DIV/0!</v>
      </c>
    </row>
    <row r="48" spans="1:19" ht="12.75" customHeight="1" x14ac:dyDescent="0.3">
      <c r="B48" s="205">
        <f>'3'!J40</f>
        <v>0</v>
      </c>
      <c r="C48" s="49">
        <f>IF('3'!K40&gt;1, ('3'!K40/86400), '3'!K40)</f>
        <v>0</v>
      </c>
      <c r="D48" s="50">
        <f>'3'!L40</f>
        <v>0</v>
      </c>
      <c r="E48" s="50"/>
      <c r="F48" s="51">
        <f>'3'!M40*3.6</f>
        <v>0</v>
      </c>
      <c r="G48" s="49" t="e">
        <f t="shared" si="1"/>
        <v>#DIV/0!</v>
      </c>
      <c r="H48" s="52">
        <f>'3'!N40</f>
        <v>0</v>
      </c>
      <c r="I48" s="51" t="e">
        <f>IF('3'!M40=200, " ",('3'!M40^3)/(H48/60))</f>
        <v>#DIV/0!</v>
      </c>
      <c r="J48" s="206" t="e">
        <f>'3'!M40/(H48/60)</f>
        <v>#DIV/0!</v>
      </c>
      <c r="N48" s="137" t="s">
        <v>283</v>
      </c>
      <c r="O48" s="138"/>
      <c r="P48" s="138">
        <f>MIN(P37,'Rpt-2'!P36,'Rpt-1'!$O$35)</f>
        <v>0</v>
      </c>
      <c r="Q48" s="138"/>
      <c r="R48" s="139" t="str">
        <f t="array" ref="R48">setChartAxis("Rpt-3","Chart 3","Min","Value","Primary",P48)</f>
        <v>Value Primary Min: 0</v>
      </c>
      <c r="S48" s="134"/>
    </row>
    <row r="49" spans="1:20" ht="12.75" customHeight="1" x14ac:dyDescent="0.3">
      <c r="B49" s="205">
        <f>'3'!J41</f>
        <v>0</v>
      </c>
      <c r="C49" s="49">
        <f>IF('3'!K41&gt;1, ('3'!K41/86400), '3'!K41)</f>
        <v>0</v>
      </c>
      <c r="D49" s="50">
        <f>'3'!L41</f>
        <v>0</v>
      </c>
      <c r="E49" s="50"/>
      <c r="F49" s="51">
        <f>'3'!M41*3.6</f>
        <v>0</v>
      </c>
      <c r="G49" s="49" t="e">
        <f t="shared" si="1"/>
        <v>#DIV/0!</v>
      </c>
      <c r="H49" s="52">
        <f>'3'!N41</f>
        <v>0</v>
      </c>
      <c r="I49" s="51" t="e">
        <f>IF('3'!M41=200, " ",('3'!M41^3)/(H49/60))</f>
        <v>#DIV/0!</v>
      </c>
      <c r="J49" s="206" t="e">
        <f>'3'!M41/(H49/60)</f>
        <v>#DIV/0!</v>
      </c>
      <c r="N49" s="137" t="s">
        <v>284</v>
      </c>
      <c r="O49" s="138"/>
      <c r="P49" s="138">
        <f>MAX(P38,'Rpt-2'!P37,'Rpt-1'!$O$36)</f>
        <v>150</v>
      </c>
      <c r="Q49" s="138"/>
      <c r="R49" s="139" t="str">
        <f t="array" ref="R49">setChartAxis("Rpt-3","Chart 3","Max","Value","Primary",P49)</f>
        <v>Value Primary Max: 150</v>
      </c>
      <c r="S49" s="134"/>
    </row>
    <row r="50" spans="1:20" ht="12.75" customHeight="1" x14ac:dyDescent="0.3">
      <c r="B50" s="207">
        <f>'3'!J42</f>
        <v>0</v>
      </c>
      <c r="C50" s="208">
        <f>IF('3'!K42&gt;1, ('3'!K42/86400), '3'!K42)</f>
        <v>0</v>
      </c>
      <c r="D50" s="209">
        <f>'3'!L42</f>
        <v>0</v>
      </c>
      <c r="E50" s="210">
        <f>SUM(D45:D50)/86400</f>
        <v>0</v>
      </c>
      <c r="F50" s="211">
        <f>'3'!M42*3.6</f>
        <v>0</v>
      </c>
      <c r="G50" s="208" t="e">
        <f t="shared" si="1"/>
        <v>#DIV/0!</v>
      </c>
      <c r="H50" s="212">
        <f>'3'!N42</f>
        <v>0</v>
      </c>
      <c r="I50" s="211" t="e">
        <f>IF('3'!M42=200, " ",('3'!M42^3)/(H50/60))</f>
        <v>#DIV/0!</v>
      </c>
      <c r="J50" s="213" t="e">
        <f>'3'!M42/(H50/60)</f>
        <v>#DIV/0!</v>
      </c>
      <c r="N50" s="137" t="s">
        <v>283</v>
      </c>
      <c r="O50" s="138"/>
      <c r="P50" s="138">
        <f>N15</f>
        <v>0</v>
      </c>
      <c r="Q50" s="138"/>
      <c r="R50" s="139" t="str">
        <f t="array" ref="R50">setChartAxis("Rpt-3","Chart 3","Min","Category","Primary",P50)</f>
        <v>Category Primary Min: 0</v>
      </c>
      <c r="S50" s="134"/>
    </row>
    <row r="51" spans="1:20" ht="12.75" customHeight="1" x14ac:dyDescent="0.3">
      <c r="B51" s="220">
        <f>'3'!J43</f>
        <v>0</v>
      </c>
      <c r="C51" s="221">
        <f>IF('3'!K43&gt;1, ('3'!K43/86400), '3'!K43)</f>
        <v>0</v>
      </c>
      <c r="D51" s="222">
        <f>'3'!L43</f>
        <v>0</v>
      </c>
      <c r="E51" s="222"/>
      <c r="F51" s="223">
        <f>'3'!M43*3.6</f>
        <v>0</v>
      </c>
      <c r="G51" s="221" t="e">
        <f t="shared" si="1"/>
        <v>#DIV/0!</v>
      </c>
      <c r="H51" s="224">
        <f>'3'!N43</f>
        <v>0</v>
      </c>
      <c r="I51" s="223" t="e">
        <f>IF('3'!M43=200, " ",('3'!M43^3)/(H51/60))</f>
        <v>#DIV/0!</v>
      </c>
      <c r="J51" s="225" t="e">
        <f>'3'!M43/(H51/60)</f>
        <v>#DIV/0!</v>
      </c>
      <c r="N51" s="137" t="s">
        <v>284</v>
      </c>
      <c r="O51" s="138"/>
      <c r="P51" s="138">
        <f>N16</f>
        <v>0</v>
      </c>
      <c r="Q51" s="138"/>
      <c r="R51" s="139" t="str">
        <f t="array" ref="R51">setChartAxis("Rpt-3","Chart 3","Max","Category","Primary",P51)</f>
        <v>Category Primary Max: 0</v>
      </c>
      <c r="S51" s="134"/>
    </row>
    <row r="52" spans="1:20" ht="12.75" customHeight="1" x14ac:dyDescent="0.3">
      <c r="B52" s="205">
        <f>'3'!J44</f>
        <v>0</v>
      </c>
      <c r="C52" s="49">
        <f>IF('3'!K44&gt;1, ('3'!K44/86400), '3'!K44)</f>
        <v>0</v>
      </c>
      <c r="D52" s="50">
        <f>'3'!L44</f>
        <v>0</v>
      </c>
      <c r="E52" s="50"/>
      <c r="F52" s="51">
        <f>'3'!M44*3.6</f>
        <v>0</v>
      </c>
      <c r="G52" s="49" t="e">
        <f t="shared" si="1"/>
        <v>#DIV/0!</v>
      </c>
      <c r="H52" s="52">
        <f>'3'!N44</f>
        <v>0</v>
      </c>
      <c r="I52" s="51" t="e">
        <f>IF('3'!M44=200, " ",('3'!M44^3)/(H52/60))</f>
        <v>#DIV/0!</v>
      </c>
      <c r="J52" s="206" t="e">
        <f>'3'!M44/(H52/60)</f>
        <v>#DIV/0!</v>
      </c>
    </row>
    <row r="53" spans="1:20" ht="12.75" customHeight="1" x14ac:dyDescent="0.3">
      <c r="B53" s="205">
        <f>'3'!J45</f>
        <v>0</v>
      </c>
      <c r="C53" s="49">
        <f>IF('3'!K45&gt;1, ('3'!K45/86400), '3'!K45)</f>
        <v>0</v>
      </c>
      <c r="D53" s="50">
        <f>'3'!L45</f>
        <v>0</v>
      </c>
      <c r="E53" s="50"/>
      <c r="F53" s="51">
        <f>'3'!M45*3.6</f>
        <v>0</v>
      </c>
      <c r="G53" s="49" t="e">
        <f t="shared" si="1"/>
        <v>#DIV/0!</v>
      </c>
      <c r="H53" s="52">
        <f>'3'!N45</f>
        <v>0</v>
      </c>
      <c r="I53" s="51" t="e">
        <f>IF('3'!M45=200, " ",('3'!M45^3)/(H53/60))</f>
        <v>#DIV/0!</v>
      </c>
      <c r="J53" s="206" t="e">
        <f>'3'!M45/(H53/60)</f>
        <v>#DIV/0!</v>
      </c>
      <c r="N53" s="137" t="s">
        <v>283</v>
      </c>
      <c r="O53" s="138" t="e">
        <f t="array" ref="O53">MIN(IF(I46:I65&lt;&gt;0,I46:I65))</f>
        <v>#DIV/0!</v>
      </c>
      <c r="P53" s="138" t="e">
        <f>ROUND(O53-(O53*0.04),0)</f>
        <v>#DIV/0!</v>
      </c>
      <c r="Q53" s="138" t="e">
        <f>MIN(P53,'Rpt-2'!P49,'Rpt-1'!$O$51)</f>
        <v>#DIV/0!</v>
      </c>
      <c r="R53" s="139" t="str">
        <f t="array" ref="R53">setChartAxis("Rpt-3","Chart 4","Min","Value","Primary",Q53)</f>
        <v>Value Primary Min: Auto</v>
      </c>
      <c r="S53" s="134"/>
    </row>
    <row r="54" spans="1:20" ht="12.75" customHeight="1" x14ac:dyDescent="0.3">
      <c r="B54" s="205">
        <f>'3'!J46</f>
        <v>0</v>
      </c>
      <c r="C54" s="49">
        <f>IF('3'!K46&gt;1, ('3'!K46/86400), '3'!K46)</f>
        <v>0</v>
      </c>
      <c r="D54" s="50">
        <f>'3'!L46</f>
        <v>0</v>
      </c>
      <c r="E54" s="50"/>
      <c r="F54" s="51">
        <f>'3'!M46*3.6</f>
        <v>0</v>
      </c>
      <c r="G54" s="49" t="e">
        <f t="shared" si="1"/>
        <v>#DIV/0!</v>
      </c>
      <c r="H54" s="52">
        <f>'3'!N46</f>
        <v>0</v>
      </c>
      <c r="I54" s="51" t="e">
        <f>IF('3'!M46=200, " ",('3'!M46^3)/(H54/60))</f>
        <v>#DIV/0!</v>
      </c>
      <c r="J54" s="206" t="e">
        <f>'3'!M46/(H54/60)</f>
        <v>#DIV/0!</v>
      </c>
      <c r="N54" s="137" t="s">
        <v>284</v>
      </c>
      <c r="O54" s="138" t="e">
        <f t="array" ref="O54">MAX(IF(I46:I65&lt;&gt;0,I46:I65))</f>
        <v>#DIV/0!</v>
      </c>
      <c r="P54" s="138" t="e">
        <f>ROUND(O54+(O54*0.04),0)</f>
        <v>#DIV/0!</v>
      </c>
      <c r="Q54" s="138" t="e">
        <f>MAX(P54,'Rpt-2'!P49,'Rpt-1'!$O$51)</f>
        <v>#DIV/0!</v>
      </c>
      <c r="R54" s="139" t="str">
        <f t="array" ref="R54">setChartAxis("Rpt-3","Chart 4","Max","Value","Primary",Q54)</f>
        <v>Value Primary Max: Auto</v>
      </c>
      <c r="S54" s="134"/>
    </row>
    <row r="55" spans="1:20" ht="12.75" customHeight="1" x14ac:dyDescent="0.3">
      <c r="B55" s="207">
        <f>'3'!J47</f>
        <v>0</v>
      </c>
      <c r="C55" s="208">
        <f>IF('3'!K47&gt;1, ('3'!K47/86400), '3'!K47)</f>
        <v>0</v>
      </c>
      <c r="D55" s="209">
        <f>'3'!L47</f>
        <v>0</v>
      </c>
      <c r="E55" s="210">
        <f>SUM(D51:D55)/86400</f>
        <v>0</v>
      </c>
      <c r="F55" s="211">
        <f>'3'!M47*3.6</f>
        <v>0</v>
      </c>
      <c r="G55" s="208" t="e">
        <f t="shared" si="1"/>
        <v>#DIV/0!</v>
      </c>
      <c r="H55" s="212">
        <f>'3'!N47</f>
        <v>0</v>
      </c>
      <c r="I55" s="211" t="e">
        <f>IF('3'!M47=200, " ",('3'!M47^3)/(H55/60))</f>
        <v>#DIV/0!</v>
      </c>
      <c r="J55" s="213" t="e">
        <f>'3'!M47/(H55/60)</f>
        <v>#DIV/0!</v>
      </c>
      <c r="N55" s="137" t="s">
        <v>283</v>
      </c>
      <c r="O55" s="138"/>
      <c r="P55" s="138">
        <f>N15</f>
        <v>0</v>
      </c>
      <c r="Q55" s="138"/>
      <c r="R55" s="139" t="str">
        <f t="array" ref="R55">setChartAxis("Rpt-3","Chart 4","Min","Category","Primary",P55)</f>
        <v>Category Primary Min: 0</v>
      </c>
      <c r="S55" s="134"/>
    </row>
    <row r="56" spans="1:20" ht="12.75" customHeight="1" x14ac:dyDescent="0.3">
      <c r="B56" s="220">
        <f>'3'!J48</f>
        <v>0</v>
      </c>
      <c r="C56" s="221">
        <f>IF('3'!K48&gt;1, ('3'!K48/86400), '3'!K48)</f>
        <v>0</v>
      </c>
      <c r="D56" s="222">
        <f>'3'!L48</f>
        <v>0</v>
      </c>
      <c r="E56" s="222"/>
      <c r="F56" s="223">
        <f>'3'!M48*3.6</f>
        <v>0</v>
      </c>
      <c r="G56" s="221" t="e">
        <f t="shared" si="1"/>
        <v>#DIV/0!</v>
      </c>
      <c r="H56" s="224">
        <f>'3'!N48</f>
        <v>0</v>
      </c>
      <c r="I56" s="223" t="e">
        <f>IF('3'!M48=200, " ",('3'!M48^3)/(H56/60))</f>
        <v>#DIV/0!</v>
      </c>
      <c r="J56" s="225" t="e">
        <f>'3'!M48/(H56/60)</f>
        <v>#DIV/0!</v>
      </c>
      <c r="N56" s="137" t="s">
        <v>284</v>
      </c>
      <c r="O56" s="138"/>
      <c r="P56" s="138">
        <f>N16</f>
        <v>0</v>
      </c>
      <c r="Q56" s="138"/>
      <c r="R56" s="139" t="str">
        <f t="array" ref="R56">setChartAxis("Rpt-3","Chart 4","Max","Category","Primary",P56)</f>
        <v>Category Primary Max: 0</v>
      </c>
      <c r="S56" s="134"/>
    </row>
    <row r="57" spans="1:20" ht="12.75" customHeight="1" x14ac:dyDescent="0.3">
      <c r="B57" s="205">
        <f>'3'!J49</f>
        <v>0</v>
      </c>
      <c r="C57" s="49">
        <f>IF('3'!K49&gt;1, ('3'!K49/86400), '3'!K49)</f>
        <v>0</v>
      </c>
      <c r="D57" s="50">
        <f>'3'!L49</f>
        <v>0</v>
      </c>
      <c r="E57" s="50"/>
      <c r="F57" s="51">
        <f>'3'!M49*3.6</f>
        <v>0</v>
      </c>
      <c r="G57" s="49" t="e">
        <f t="shared" si="1"/>
        <v>#DIV/0!</v>
      </c>
      <c r="H57" s="52">
        <f>'3'!N49</f>
        <v>0</v>
      </c>
      <c r="I57" s="51" t="e">
        <f>IF('3'!M49=200, " ",('3'!M49^3)/(H57/60))</f>
        <v>#DIV/0!</v>
      </c>
      <c r="J57" s="206" t="e">
        <f>'3'!M49/(H57/60)</f>
        <v>#DIV/0!</v>
      </c>
      <c r="N57" s="137"/>
      <c r="O57" s="138"/>
      <c r="P57" s="138"/>
      <c r="Q57" s="138"/>
      <c r="R57" s="139"/>
    </row>
    <row r="58" spans="1:20" ht="12.75" customHeight="1" x14ac:dyDescent="0.3">
      <c r="B58" s="205">
        <f>'3'!J50</f>
        <v>0</v>
      </c>
      <c r="C58" s="49">
        <f>IF('3'!K50&gt;1, ('3'!K50/86400), '3'!K50)</f>
        <v>0</v>
      </c>
      <c r="D58" s="50">
        <f>'3'!L50</f>
        <v>0</v>
      </c>
      <c r="E58" s="50"/>
      <c r="F58" s="51">
        <f>'3'!M50*3.6</f>
        <v>0</v>
      </c>
      <c r="G58" s="49" t="e">
        <f t="shared" si="1"/>
        <v>#DIV/0!</v>
      </c>
      <c r="H58" s="52">
        <f>'3'!N50</f>
        <v>0</v>
      </c>
      <c r="I58" s="51" t="e">
        <f>IF('3'!M50=200, " ",('3'!M50^3)/(H58/60))</f>
        <v>#DIV/0!</v>
      </c>
      <c r="J58" s="206" t="e">
        <f>'3'!M50/(H58/60)</f>
        <v>#DIV/0!</v>
      </c>
      <c r="N58" s="137"/>
      <c r="O58" s="138"/>
      <c r="P58" s="138"/>
      <c r="Q58" s="138"/>
      <c r="R58" s="139"/>
    </row>
    <row r="59" spans="1:20" ht="12.75" customHeight="1" x14ac:dyDescent="0.3">
      <c r="B59" s="205">
        <f>'3'!J51</f>
        <v>0</v>
      </c>
      <c r="C59" s="49">
        <f>IF('3'!K51&gt;1, ('3'!K51/86400), '3'!K51)</f>
        <v>0</v>
      </c>
      <c r="D59" s="50">
        <f>'3'!L51</f>
        <v>0</v>
      </c>
      <c r="E59" s="50"/>
      <c r="F59" s="51">
        <f>'3'!M51*3.6</f>
        <v>0</v>
      </c>
      <c r="G59" s="49" t="e">
        <f t="shared" si="1"/>
        <v>#DIV/0!</v>
      </c>
      <c r="H59" s="52">
        <f>'3'!N51</f>
        <v>0</v>
      </c>
      <c r="I59" s="51" t="e">
        <f>IF('3'!M51=200, " ",('3'!M51^3)/(H59/60))</f>
        <v>#DIV/0!</v>
      </c>
      <c r="J59" s="206" t="e">
        <f>'3'!M51/(H59/60)</f>
        <v>#DIV/0!</v>
      </c>
      <c r="N59" s="137" t="s">
        <v>283</v>
      </c>
      <c r="O59" s="138"/>
      <c r="P59" s="138">
        <f>N15</f>
        <v>0</v>
      </c>
      <c r="Q59" s="138"/>
      <c r="R59" s="139" t="str">
        <f>setChartAxis("Rpt-3","Chart 5","Min","Category","Primary",P59)</f>
        <v>Category Primary Min: 0</v>
      </c>
    </row>
    <row r="60" spans="1:20" ht="12.75" customHeight="1" x14ac:dyDescent="0.3">
      <c r="B60" s="207">
        <f>'3'!J52</f>
        <v>0</v>
      </c>
      <c r="C60" s="208">
        <f>IF('3'!K52&gt;1, ('3'!K52/86400), '3'!K52)</f>
        <v>0</v>
      </c>
      <c r="D60" s="209">
        <f>'3'!L52</f>
        <v>0</v>
      </c>
      <c r="E60" s="210">
        <f>SUM(D56:D60)/86400</f>
        <v>0</v>
      </c>
      <c r="F60" s="211">
        <f>'3'!M52*3.6</f>
        <v>0</v>
      </c>
      <c r="G60" s="208" t="e">
        <f t="shared" si="1"/>
        <v>#DIV/0!</v>
      </c>
      <c r="H60" s="212">
        <f>'3'!N52</f>
        <v>0</v>
      </c>
      <c r="I60" s="211" t="e">
        <f>IF('3'!M52=200, " ",('3'!M52^3)/(H60/60))</f>
        <v>#DIV/0!</v>
      </c>
      <c r="J60" s="213" t="e">
        <f>'3'!M52/(H60/60)</f>
        <v>#DIV/0!</v>
      </c>
      <c r="M60" s="134"/>
      <c r="N60" s="137" t="s">
        <v>284</v>
      </c>
      <c r="O60" s="138"/>
      <c r="P60" s="138">
        <f>N16</f>
        <v>0</v>
      </c>
      <c r="Q60" s="138"/>
      <c r="R60" s="139" t="str">
        <f>setChartAxis("Rpt-3","Chart 5","Max","Category","Primary",P60)</f>
        <v>Category Primary Max: 0</v>
      </c>
      <c r="T60" s="134"/>
    </row>
    <row r="61" spans="1:20" ht="12.75" customHeight="1" x14ac:dyDescent="0.3">
      <c r="B61" s="220">
        <f>'3'!J53</f>
        <v>0</v>
      </c>
      <c r="C61" s="221">
        <f>IF('3'!K53&gt;1, ('3'!K53/86400), '3'!K53)</f>
        <v>0</v>
      </c>
      <c r="D61" s="222">
        <f>'3'!L53</f>
        <v>0</v>
      </c>
      <c r="E61" s="222"/>
      <c r="F61" s="223">
        <f>'3'!M53*3.6</f>
        <v>0</v>
      </c>
      <c r="G61" s="221" t="e">
        <f t="shared" si="1"/>
        <v>#DIV/0!</v>
      </c>
      <c r="H61" s="224">
        <f>'3'!N53</f>
        <v>0</v>
      </c>
      <c r="I61" s="223" t="e">
        <f>IF('3'!M53=200, " ",('3'!M53^3)/(H61/60))</f>
        <v>#DIV/0!</v>
      </c>
      <c r="J61" s="225" t="e">
        <f>'3'!M53/(H61/60)</f>
        <v>#DIV/0!</v>
      </c>
      <c r="M61" s="134"/>
      <c r="T61" s="134"/>
    </row>
    <row r="62" spans="1:20" ht="12.75" customHeight="1" x14ac:dyDescent="0.3">
      <c r="B62" s="205">
        <f>'3'!J54</f>
        <v>0</v>
      </c>
      <c r="C62" s="49">
        <f>IF('3'!K54&gt;1, ('3'!K54/86400), '3'!K54)</f>
        <v>0</v>
      </c>
      <c r="D62" s="50">
        <f>'3'!L54</f>
        <v>0</v>
      </c>
      <c r="E62" s="50"/>
      <c r="F62" s="51">
        <f>'3'!M54*3.6</f>
        <v>0</v>
      </c>
      <c r="G62" s="49" t="e">
        <f t="shared" si="1"/>
        <v>#DIV/0!</v>
      </c>
      <c r="H62" s="52">
        <f>'3'!N54</f>
        <v>0</v>
      </c>
      <c r="I62" s="51" t="e">
        <f>IF('3'!M54=200, " ",('3'!M54^3)/(H62/60))</f>
        <v>#DIV/0!</v>
      </c>
      <c r="J62" s="206" t="e">
        <f>'3'!M54/(H62/60)</f>
        <v>#DIV/0!</v>
      </c>
      <c r="M62" s="134"/>
      <c r="N62" s="137" t="s">
        <v>283</v>
      </c>
      <c r="O62" s="138"/>
      <c r="P62" s="138">
        <f>N15</f>
        <v>0</v>
      </c>
      <c r="Q62" s="138"/>
      <c r="R62" s="139" t="str">
        <f>setChartAxis("Rpt-3","Chart 6","Min","Category","Primary",P62)</f>
        <v>Category Primary Min: 0</v>
      </c>
      <c r="T62" s="134"/>
    </row>
    <row r="63" spans="1:20" ht="12.75" customHeight="1" x14ac:dyDescent="0.3">
      <c r="A63"/>
      <c r="B63" s="205">
        <f>'3'!J55</f>
        <v>0</v>
      </c>
      <c r="C63" s="49">
        <f>IF('3'!K55&gt;1, ('3'!K55/86400), '3'!K55)</f>
        <v>0</v>
      </c>
      <c r="D63" s="50">
        <f>'3'!L55</f>
        <v>0</v>
      </c>
      <c r="E63" s="50"/>
      <c r="F63" s="51">
        <f>'3'!M55*3.6</f>
        <v>0</v>
      </c>
      <c r="G63" s="49" t="e">
        <f t="shared" si="1"/>
        <v>#DIV/0!</v>
      </c>
      <c r="H63" s="52">
        <f>'3'!N55</f>
        <v>0</v>
      </c>
      <c r="I63" s="51" t="e">
        <f>IF('3'!M55=200, " ",('3'!M55^3)/(H63/60))</f>
        <v>#DIV/0!</v>
      </c>
      <c r="J63" s="206" t="e">
        <f>'3'!M55/(H63/60)</f>
        <v>#DIV/0!</v>
      </c>
      <c r="K63"/>
      <c r="M63" s="134"/>
      <c r="N63" s="137" t="s">
        <v>284</v>
      </c>
      <c r="O63" s="138"/>
      <c r="P63" s="138">
        <f>N16</f>
        <v>0</v>
      </c>
      <c r="Q63" s="138"/>
      <c r="R63" s="139" t="str">
        <f>setChartAxis("Rpt-3","Chart 6","Max","Category","Primary",P63)</f>
        <v>Category Primary Max: 0</v>
      </c>
      <c r="T63" s="134"/>
    </row>
    <row r="64" spans="1:20" ht="12.75" customHeight="1" x14ac:dyDescent="0.3">
      <c r="B64" s="205">
        <f>'3'!J56</f>
        <v>0</v>
      </c>
      <c r="C64" s="49">
        <f>IF('3'!K56&gt;1, ('3'!K56/86400), '3'!K56)</f>
        <v>0</v>
      </c>
      <c r="D64" s="50">
        <f>'3'!L56</f>
        <v>0</v>
      </c>
      <c r="E64" s="50"/>
      <c r="F64" s="51">
        <f>'3'!M56*3.6</f>
        <v>0</v>
      </c>
      <c r="G64" s="49" t="e">
        <f t="shared" si="1"/>
        <v>#DIV/0!</v>
      </c>
      <c r="H64" s="52">
        <f>'3'!N56</f>
        <v>0</v>
      </c>
      <c r="I64" s="51" t="e">
        <f>IF('3'!M56=200, " ",('3'!M56^3)/(H64/60))</f>
        <v>#DIV/0!</v>
      </c>
      <c r="J64" s="206" t="e">
        <f>'3'!M56/(H64/60)</f>
        <v>#DIV/0!</v>
      </c>
      <c r="M64" s="134"/>
      <c r="T64" s="134"/>
    </row>
    <row r="65" spans="1:22" ht="12.75" customHeight="1" x14ac:dyDescent="0.3">
      <c r="B65" s="207">
        <f>'3'!J57</f>
        <v>0</v>
      </c>
      <c r="C65" s="208">
        <f>IF('3'!K57&gt;1, ('3'!K57/86400), '3'!K57)</f>
        <v>0</v>
      </c>
      <c r="D65" s="209">
        <f>'3'!L57</f>
        <v>0</v>
      </c>
      <c r="E65" s="210">
        <f>SUM(D61:D65)/86400</f>
        <v>0</v>
      </c>
      <c r="F65" s="211">
        <f>'3'!M57*3.6</f>
        <v>0</v>
      </c>
      <c r="G65" s="208" t="e">
        <f t="shared" si="1"/>
        <v>#DIV/0!</v>
      </c>
      <c r="H65" s="212">
        <f>'3'!N57</f>
        <v>0</v>
      </c>
      <c r="I65" s="211" t="e">
        <f>IF('3'!M57=200, " ",('3'!M57^3)/(H65/60))</f>
        <v>#DIV/0!</v>
      </c>
      <c r="J65" s="213" t="e">
        <f>'3'!M57/(H65/60)</f>
        <v>#DIV/0!</v>
      </c>
      <c r="N65" s="137" t="s">
        <v>283</v>
      </c>
      <c r="O65" s="138"/>
      <c r="P65" s="138">
        <f>N15</f>
        <v>0</v>
      </c>
      <c r="Q65" s="138"/>
      <c r="R65" s="139" t="str">
        <f>setChartAxis("Rpt-3","Chart 7","Min","Category","Primary",P65)</f>
        <v>Category Primary Min: 0</v>
      </c>
    </row>
    <row r="66" spans="1:22" ht="12.75" customHeight="1" x14ac:dyDescent="0.3">
      <c r="B66" s="226" t="s">
        <v>153</v>
      </c>
      <c r="C66" s="227"/>
      <c r="D66" s="228">
        <f>AVERAGE(D48:D65)</f>
        <v>0</v>
      </c>
      <c r="E66" s="226"/>
      <c r="F66" s="229">
        <f>AVERAGE(F48:F65)</f>
        <v>0</v>
      </c>
      <c r="G66" s="227" t="e">
        <f>AVERAGE(G48:G65)</f>
        <v>#DIV/0!</v>
      </c>
      <c r="H66" s="230">
        <f>AVERAGE(H48:H65)</f>
        <v>0</v>
      </c>
      <c r="I66" s="229" t="e">
        <f>AVERAGE(I48:I65)</f>
        <v>#DIV/0!</v>
      </c>
      <c r="J66" s="228" t="e">
        <f>AVERAGE(J48:J65)</f>
        <v>#DIV/0!</v>
      </c>
      <c r="N66" s="137" t="s">
        <v>284</v>
      </c>
      <c r="O66" s="138"/>
      <c r="P66" s="138">
        <f>N16</f>
        <v>0</v>
      </c>
      <c r="Q66" s="138"/>
      <c r="R66" s="139" t="str">
        <f>setChartAxis("Rpt-3","Chart 7","Max","Category","Primary",P66)</f>
        <v>Category Primary Max: 0</v>
      </c>
    </row>
    <row r="67" spans="1:22" ht="12.75" customHeight="1" x14ac:dyDescent="0.3">
      <c r="B67" s="237"/>
      <c r="C67" s="238"/>
      <c r="D67" s="239"/>
      <c r="E67" s="237"/>
      <c r="F67" s="240"/>
      <c r="G67" s="238"/>
      <c r="H67" s="241"/>
      <c r="I67" s="240"/>
      <c r="J67" s="239"/>
    </row>
    <row r="68" spans="1:22" ht="12.75" customHeight="1" x14ac:dyDescent="0.3">
      <c r="B68" s="237"/>
      <c r="C68" s="238"/>
      <c r="D68" s="239"/>
      <c r="E68" s="237"/>
      <c r="F68" s="240"/>
      <c r="G68" s="238"/>
      <c r="H68" s="241"/>
      <c r="I68" s="240"/>
      <c r="J68" s="239"/>
    </row>
    <row r="69" spans="1:22" ht="14.4" x14ac:dyDescent="0.3">
      <c r="A69" s="303" t="s">
        <v>295</v>
      </c>
      <c r="B69" s="303"/>
      <c r="C69" s="303"/>
      <c r="D69" s="303"/>
      <c r="E69" s="303"/>
      <c r="F69" s="303"/>
      <c r="G69" s="303"/>
      <c r="H69" s="303"/>
      <c r="I69" s="303"/>
      <c r="J69" s="303"/>
      <c r="K69" s="303"/>
      <c r="L69"/>
      <c r="M69"/>
      <c r="N69"/>
      <c r="O69"/>
      <c r="P69"/>
      <c r="Q69"/>
      <c r="R69"/>
      <c r="S69"/>
      <c r="T69"/>
      <c r="U69"/>
      <c r="V69"/>
    </row>
    <row r="70" spans="1:22" ht="12.75" customHeight="1" x14ac:dyDescent="0.3">
      <c r="L70"/>
      <c r="M70"/>
      <c r="N70"/>
      <c r="O70"/>
      <c r="P70"/>
      <c r="Q70"/>
      <c r="R70"/>
      <c r="S70"/>
      <c r="T70"/>
      <c r="U70"/>
      <c r="V70"/>
    </row>
    <row r="71" spans="1:22" ht="12.75" customHeight="1" x14ac:dyDescent="0.3">
      <c r="A71" s="306" t="str">
        <f>CONCATENATE("Summary Data - ",'Event SetUp'!$G$15&amp;" "&amp;'3'!$D$17&amp;"")</f>
        <v>Summary Data - K1 1000 A Final</v>
      </c>
      <c r="B71" s="307"/>
      <c r="C71" s="307"/>
      <c r="D71" s="307"/>
      <c r="E71" s="307"/>
      <c r="F71" s="307"/>
      <c r="G71" s="307"/>
      <c r="H71" s="307"/>
      <c r="I71" s="307"/>
      <c r="J71" s="307"/>
      <c r="K71" s="308"/>
      <c r="L71"/>
      <c r="M71"/>
      <c r="N71"/>
      <c r="O71"/>
      <c r="P71"/>
      <c r="Q71"/>
      <c r="R71"/>
      <c r="S71"/>
      <c r="T71"/>
      <c r="U71"/>
      <c r="V71"/>
    </row>
    <row r="72" spans="1:22" ht="12.75" customHeight="1" x14ac:dyDescent="0.3">
      <c r="A72" s="129"/>
      <c r="B72" s="129"/>
      <c r="C72" s="332" t="s">
        <v>144</v>
      </c>
      <c r="D72" s="333"/>
      <c r="E72" s="140" t="s">
        <v>150</v>
      </c>
      <c r="F72" s="141"/>
      <c r="G72" s="332" t="s">
        <v>145</v>
      </c>
      <c r="H72" s="334"/>
      <c r="I72" s="333"/>
      <c r="J72" s="335" t="str">
        <f xml:space="preserve"> IF(B65&gt;499, "Pace per 250", " ")</f>
        <v xml:space="preserve"> </v>
      </c>
      <c r="K72" s="335"/>
      <c r="L72"/>
      <c r="M72"/>
      <c r="N72"/>
      <c r="O72"/>
      <c r="P72"/>
      <c r="Q72"/>
      <c r="R72"/>
      <c r="S72"/>
      <c r="T72"/>
      <c r="U72"/>
      <c r="V72"/>
    </row>
    <row r="73" spans="1:22" ht="12.75" customHeight="1" x14ac:dyDescent="0.3">
      <c r="A73" s="142" t="s">
        <v>146</v>
      </c>
      <c r="B73" s="143" t="s">
        <v>87</v>
      </c>
      <c r="C73" s="144" t="s">
        <v>152</v>
      </c>
      <c r="D73" s="145" t="s">
        <v>149</v>
      </c>
      <c r="E73" s="146" t="s">
        <v>151</v>
      </c>
      <c r="F73" s="146" t="str">
        <f>IF(B65=200," ","eWPS")</f>
        <v>eWPS</v>
      </c>
      <c r="G73" s="144" t="str">
        <f>CONCATENATE($M$4," m")</f>
        <v>250 m</v>
      </c>
      <c r="H73" s="147" t="str">
        <f>CONCATENATE($M$4," m Diff")</f>
        <v>250 m Diff</v>
      </c>
      <c r="I73" s="145" t="str">
        <f>IF(B65&gt;499, "500 m", "50-150 m")</f>
        <v>50-150 m</v>
      </c>
      <c r="J73" s="338"/>
      <c r="K73" s="336"/>
      <c r="L73"/>
      <c r="M73"/>
      <c r="N73"/>
      <c r="O73"/>
      <c r="P73"/>
      <c r="Q73"/>
      <c r="R73"/>
      <c r="S73"/>
      <c r="T73"/>
      <c r="U73"/>
      <c r="V73"/>
    </row>
    <row r="74" spans="1:22" ht="12.75" customHeight="1" x14ac:dyDescent="0.3">
      <c r="A74" s="148">
        <v>50</v>
      </c>
      <c r="B74" s="149" t="e">
        <f>VLOOKUP(A74, B$45:C$65,2,FALSE)</f>
        <v>#N/A</v>
      </c>
      <c r="C74" s="150" t="e">
        <f>(A74/(B74*86400))*3.6</f>
        <v>#N/A</v>
      </c>
      <c r="D74" s="151" t="e">
        <f>VLOOKUP(A74, B$45:J$65,7,FALSE)</f>
        <v>#N/A</v>
      </c>
      <c r="E74" s="152" t="e">
        <f>(C74/3.6)/(D74/60)</f>
        <v>#N/A</v>
      </c>
      <c r="F74" s="153" t="e">
        <f>IF(B$65=200, " ", ((C74/3.6)^3)/(D74/60))</f>
        <v>#N/A</v>
      </c>
      <c r="G74" s="154" t="str">
        <f>IF(B65=200, B74, " ")</f>
        <v xml:space="preserve"> </v>
      </c>
      <c r="H74" s="155"/>
      <c r="I74" s="156"/>
      <c r="J74" s="157"/>
      <c r="K74" s="156"/>
      <c r="L74"/>
      <c r="M74"/>
      <c r="N74"/>
      <c r="O74"/>
      <c r="P74"/>
      <c r="Q74"/>
      <c r="R74"/>
      <c r="S74"/>
      <c r="T74"/>
      <c r="U74"/>
      <c r="V74"/>
    </row>
    <row r="75" spans="1:22" ht="12.75" customHeight="1" x14ac:dyDescent="0.3">
      <c r="A75" s="158">
        <v>100</v>
      </c>
      <c r="B75" s="159" t="e">
        <f>VLOOKUP(A75, B$45:C$65,2,FALSE)</f>
        <v>#N/A</v>
      </c>
      <c r="C75" s="160" t="e">
        <f>(A75-A74)/((B75-B74)*86400)*3.6</f>
        <v>#N/A</v>
      </c>
      <c r="D75" s="161" t="e">
        <f>VLOOKUP(A75, B$45:J$65,7,FALSE)</f>
        <v>#N/A</v>
      </c>
      <c r="E75" s="162" t="e">
        <f t="shared" ref="E75:E77" si="2">(C75/3.6)/(D75/60)</f>
        <v>#N/A</v>
      </c>
      <c r="F75" s="163" t="e">
        <f>IF(B$65=200, " ", ((C75/3.6)^3)/(D75/60))</f>
        <v>#N/A</v>
      </c>
      <c r="G75" s="164" t="str">
        <f>IF(B65=200, B75-B74, " ")</f>
        <v xml:space="preserve"> </v>
      </c>
      <c r="H75" s="165" t="str">
        <f>IF(B65=200, (ABS(G75-G74)), " ")</f>
        <v xml:space="preserve"> </v>
      </c>
      <c r="I75" s="166"/>
      <c r="J75" s="167"/>
      <c r="K75" s="166"/>
      <c r="L75"/>
      <c r="M75"/>
      <c r="N75"/>
      <c r="O75"/>
      <c r="P75"/>
      <c r="Q75"/>
      <c r="R75"/>
      <c r="S75"/>
      <c r="T75"/>
      <c r="U75"/>
      <c r="V75"/>
    </row>
    <row r="76" spans="1:22" ht="12.75" customHeight="1" x14ac:dyDescent="0.3">
      <c r="A76" s="158">
        <f>IF($B$65 &gt; 499, 250, 150)</f>
        <v>150</v>
      </c>
      <c r="B76" s="159" t="e">
        <f>VLOOKUP(A76, B$45:C$65,2,FALSE)</f>
        <v>#N/A</v>
      </c>
      <c r="C76" s="160" t="e">
        <f>(A76-A75)/((B76-B75)*86400)*3.6</f>
        <v>#N/A</v>
      </c>
      <c r="D76" s="161" t="e">
        <f>VLOOKUP(A76, B$45:J$65,7,FALSE)</f>
        <v>#N/A</v>
      </c>
      <c r="E76" s="162" t="e">
        <f t="shared" si="2"/>
        <v>#N/A</v>
      </c>
      <c r="F76" s="163" t="e">
        <f>IF(B$65=200, " ", ((C76/3.6)^3)/(D76/60))</f>
        <v>#N/A</v>
      </c>
      <c r="G76" s="164" t="e">
        <f>IF(B65 = 200, B76-B75, B76)</f>
        <v>#N/A</v>
      </c>
      <c r="H76" s="168"/>
      <c r="I76" s="166"/>
      <c r="J76" s="169" t="str">
        <f>IF(A77=500, (G76*(B65/250)), " ")</f>
        <v xml:space="preserve"> </v>
      </c>
      <c r="K76" s="159"/>
      <c r="L76"/>
      <c r="M76"/>
      <c r="N76"/>
      <c r="O76"/>
      <c r="P76"/>
      <c r="Q76"/>
      <c r="R76"/>
      <c r="S76"/>
      <c r="T76"/>
      <c r="U76"/>
      <c r="V76"/>
    </row>
    <row r="77" spans="1:22" ht="12.75" customHeight="1" x14ac:dyDescent="0.3">
      <c r="A77" s="158">
        <f>IF($B$65 &gt; 499, 500, 200)</f>
        <v>200</v>
      </c>
      <c r="B77" s="159" t="e">
        <f>VLOOKUP(A77, B$45:C$65,2,FALSE)</f>
        <v>#N/A</v>
      </c>
      <c r="C77" s="160" t="e">
        <f>(A77-A76)/((B77-B76)*86400)*3.6</f>
        <v>#N/A</v>
      </c>
      <c r="D77" s="161" t="e">
        <f>VLOOKUP(A77, B$45:J$65,7,FALSE)</f>
        <v>#N/A</v>
      </c>
      <c r="E77" s="162" t="e">
        <f t="shared" si="2"/>
        <v>#N/A</v>
      </c>
      <c r="F77" s="163" t="e">
        <f>IF(B$65=200, " ", ((C77/3.6)^3)/(D77/60))</f>
        <v>#N/A</v>
      </c>
      <c r="G77" s="164" t="e">
        <f>B77-B76</f>
        <v>#N/A</v>
      </c>
      <c r="H77" s="165" t="e">
        <f>ABS(G77-G76)</f>
        <v>#N/A</v>
      </c>
      <c r="I77" s="159" t="e">
        <f>IF(A77&gt;499, B77,B76-B74 )</f>
        <v>#N/A</v>
      </c>
      <c r="J77" s="169" t="str">
        <f>IF(A77=500, (G77*(B65/250)), " ")</f>
        <v xml:space="preserve"> </v>
      </c>
      <c r="K77" s="159"/>
      <c r="L77"/>
      <c r="M77"/>
      <c r="N77"/>
      <c r="O77"/>
      <c r="P77"/>
      <c r="Q77"/>
      <c r="R77"/>
      <c r="S77"/>
      <c r="T77"/>
      <c r="U77"/>
      <c r="V77"/>
    </row>
    <row r="78" spans="1:22" ht="12.75" customHeight="1" x14ac:dyDescent="0.3">
      <c r="A78" s="158" t="str">
        <f>IF($B$65 &gt; 501, 750, " ")</f>
        <v xml:space="preserve"> </v>
      </c>
      <c r="B78" s="159" t="str">
        <f>IF(A78=" ", " ",(VLOOKUP(A78,B$45:C$65,2,FALSE)))</f>
        <v xml:space="preserve"> </v>
      </c>
      <c r="C78" s="160" t="str">
        <f>IF(A78=" ", " ",(A78-A77)/((B78-B77)*86400)*3.6)</f>
        <v xml:space="preserve"> </v>
      </c>
      <c r="D78" s="161" t="str">
        <f>IF(A78=" ", " ",(VLOOKUP(A78,B$45:J$65,7,FALSE)))</f>
        <v xml:space="preserve"> </v>
      </c>
      <c r="E78" s="162" t="str">
        <f>IF(A78=" "," ",(C78/3.6)/(D78/60))</f>
        <v xml:space="preserve"> </v>
      </c>
      <c r="F78" s="163" t="str">
        <f>IF(B$65=1000, ((C78/3.6)^3)/(D78/60)," ")</f>
        <v xml:space="preserve"> </v>
      </c>
      <c r="G78" s="164" t="str">
        <f>IF(A78=" ", " ", (B78-B77))</f>
        <v xml:space="preserve"> </v>
      </c>
      <c r="H78" s="165" t="str">
        <f>IF(A78=" "," ",ABS(G78-G77))</f>
        <v xml:space="preserve"> </v>
      </c>
      <c r="I78" s="166"/>
      <c r="J78" s="169" t="str">
        <f>IF(A79=1000, (G78*(B65/250)), " ")</f>
        <v xml:space="preserve"> </v>
      </c>
      <c r="K78" s="159"/>
      <c r="L78"/>
      <c r="M78"/>
      <c r="N78"/>
      <c r="O78"/>
      <c r="P78"/>
      <c r="Q78"/>
      <c r="R78"/>
      <c r="S78"/>
      <c r="T78"/>
      <c r="U78"/>
      <c r="V78"/>
    </row>
    <row r="79" spans="1:22" ht="12.75" customHeight="1" x14ac:dyDescent="0.3">
      <c r="A79" s="170" t="str">
        <f>IF($B$65 &gt; 501, 1000, " ")</f>
        <v xml:space="preserve"> </v>
      </c>
      <c r="B79" s="171" t="str">
        <f>IF(A79=" ", " ",(VLOOKUP(A79,B$45:C$65,2,FALSE)))</f>
        <v xml:space="preserve"> </v>
      </c>
      <c r="C79" s="172" t="str">
        <f>IF(A79=" ", " ",(A79-A78)/((B79-B78)*86400)*3.6)</f>
        <v xml:space="preserve"> </v>
      </c>
      <c r="D79" s="173" t="str">
        <f>IF(A79=" ", " ",(VLOOKUP(A79,B45:J$65,7,FALSE)))</f>
        <v xml:space="preserve"> </v>
      </c>
      <c r="E79" s="174" t="str">
        <f>IF(A79=" ", " ", (C79/3.6)/(D79/60))</f>
        <v xml:space="preserve"> </v>
      </c>
      <c r="F79" s="175" t="str">
        <f>IF(B$65=1000, ((C79/3.6)^3)/(D79/60)," ")</f>
        <v xml:space="preserve"> </v>
      </c>
      <c r="G79" s="176" t="str">
        <f>IF(A79=" ", " ", (B79-B78))</f>
        <v xml:space="preserve"> </v>
      </c>
      <c r="H79" s="177" t="str">
        <f>IF(A79=" ", " ", ABS(G79-G78))</f>
        <v xml:space="preserve"> </v>
      </c>
      <c r="I79" s="171" t="str">
        <f>IF(A79=1000, (B79-B77), " ")</f>
        <v xml:space="preserve"> </v>
      </c>
      <c r="J79" s="178" t="str">
        <f>IF(A79=1000, (G79*(B65/250)), " ")</f>
        <v xml:space="preserve"> </v>
      </c>
      <c r="K79" s="171"/>
      <c r="L79"/>
      <c r="M79"/>
      <c r="N79"/>
      <c r="O79"/>
      <c r="P79"/>
      <c r="Q79"/>
      <c r="R79"/>
      <c r="S79"/>
      <c r="T79"/>
      <c r="U79"/>
      <c r="V79"/>
    </row>
    <row r="80" spans="1:22" ht="12.75" customHeight="1" x14ac:dyDescent="0.3">
      <c r="A80" s="179" t="s">
        <v>153</v>
      </c>
      <c r="B80" s="180"/>
      <c r="C80" s="181" t="e">
        <f>AVERAGE(C74:C79)</f>
        <v>#N/A</v>
      </c>
      <c r="D80" s="182" t="e">
        <f>AVERAGE(D74:D79)</f>
        <v>#N/A</v>
      </c>
      <c r="E80" s="183" t="e">
        <f>AVERAGE(E74:E79)</f>
        <v>#N/A</v>
      </c>
      <c r="F80" s="184" t="e">
        <f>IF(B65=200," ",AVERAGE(F75:F79))</f>
        <v>#N/A</v>
      </c>
      <c r="G80" s="176" t="e">
        <f>IF(B65=200," ",AVERAGE(G76:G79))</f>
        <v>#N/A</v>
      </c>
      <c r="H80" s="180"/>
      <c r="I80" s="180"/>
      <c r="J80" s="185" t="str">
        <f>IF(B65&gt;499,(AVERAGE(J76:J79)),"")</f>
        <v/>
      </c>
      <c r="K80" s="186"/>
      <c r="L80"/>
      <c r="M80"/>
      <c r="N80"/>
      <c r="O80"/>
      <c r="P80"/>
      <c r="Q80"/>
      <c r="R80"/>
      <c r="S80"/>
      <c r="T80"/>
      <c r="U80"/>
      <c r="V80"/>
    </row>
    <row r="81" spans="1:22" ht="12.75" customHeight="1" x14ac:dyDescent="0.3">
      <c r="L81"/>
      <c r="M81"/>
      <c r="N81"/>
      <c r="O81"/>
      <c r="P81"/>
      <c r="Q81"/>
      <c r="R81"/>
      <c r="S81"/>
      <c r="T81"/>
      <c r="U81"/>
      <c r="V81"/>
    </row>
    <row r="82" spans="1:22" ht="12.75" customHeight="1" x14ac:dyDescent="0.3">
      <c r="A82" s="306" t="str">
        <f>'Rpt-2'!A70:K70</f>
        <v>Summary Data - K1 1000 A Final</v>
      </c>
      <c r="B82" s="307"/>
      <c r="C82" s="307"/>
      <c r="D82" s="307"/>
      <c r="E82" s="307"/>
      <c r="F82" s="307"/>
      <c r="G82" s="307"/>
      <c r="H82" s="307"/>
      <c r="I82" s="307"/>
      <c r="J82" s="307"/>
      <c r="K82" s="308"/>
      <c r="L82"/>
      <c r="M82"/>
      <c r="N82"/>
      <c r="O82"/>
      <c r="P82"/>
      <c r="Q82"/>
      <c r="R82"/>
      <c r="S82"/>
      <c r="T82"/>
      <c r="U82"/>
      <c r="V82"/>
    </row>
    <row r="83" spans="1:22" ht="12.75" customHeight="1" x14ac:dyDescent="0.3">
      <c r="A83" s="129"/>
      <c r="B83" s="129"/>
      <c r="C83" s="339" t="str">
        <f>'Rpt-2'!C71</f>
        <v>Avge</v>
      </c>
      <c r="D83" s="340"/>
      <c r="E83" s="250" t="str">
        <f>'Rpt-2'!E71</f>
        <v xml:space="preserve">Dist </v>
      </c>
      <c r="F83" s="146"/>
      <c r="G83" s="339" t="str">
        <f>'Rpt-2'!G71</f>
        <v>Split Time and Diffs</v>
      </c>
      <c r="H83" s="341"/>
      <c r="I83" s="340"/>
      <c r="J83" s="338" t="str">
        <f>'Rpt-2'!J71</f>
        <v xml:space="preserve"> </v>
      </c>
      <c r="K83" s="335"/>
      <c r="L83"/>
      <c r="M83"/>
      <c r="N83"/>
      <c r="O83"/>
      <c r="P83"/>
      <c r="Q83"/>
      <c r="R83"/>
      <c r="S83"/>
      <c r="T83"/>
      <c r="U83"/>
      <c r="V83"/>
    </row>
    <row r="84" spans="1:22" ht="12.75" customHeight="1" x14ac:dyDescent="0.3">
      <c r="A84" s="142" t="str">
        <f>'Rpt-2'!A72</f>
        <v>Splits</v>
      </c>
      <c r="B84" s="143" t="str">
        <f>'Rpt-2'!B72</f>
        <v>Time</v>
      </c>
      <c r="C84" s="144" t="str">
        <f>'Rpt-2'!C72</f>
        <v>Vel (km/h)</v>
      </c>
      <c r="D84" s="145" t="str">
        <f>'Rpt-2'!D72</f>
        <v>Str. Rte.</v>
      </c>
      <c r="E84" s="146" t="str">
        <f>'Rpt-2'!E72</f>
        <v>per str</v>
      </c>
      <c r="F84" s="146" t="str">
        <f>'Rpt-2'!F72</f>
        <v>eWPS</v>
      </c>
      <c r="G84" s="144" t="str">
        <f>'Rpt-2'!G72</f>
        <v>250 m</v>
      </c>
      <c r="H84" s="147" t="str">
        <f>'Rpt-2'!H72</f>
        <v>250 m Diff</v>
      </c>
      <c r="I84" s="145" t="str">
        <f>'Rpt-2'!I72</f>
        <v>50-150 m</v>
      </c>
      <c r="J84" s="338"/>
      <c r="K84" s="336"/>
      <c r="L84"/>
      <c r="M84"/>
      <c r="N84"/>
      <c r="O84"/>
      <c r="P84"/>
      <c r="Q84"/>
      <c r="R84"/>
      <c r="S84"/>
      <c r="T84"/>
      <c r="U84"/>
      <c r="V84"/>
    </row>
    <row r="85" spans="1:22" ht="12.75" customHeight="1" x14ac:dyDescent="0.3">
      <c r="A85" s="148">
        <f>'Rpt-2'!A73</f>
        <v>50</v>
      </c>
      <c r="B85" s="149" t="e">
        <f>'Rpt-2'!B73</f>
        <v>#N/A</v>
      </c>
      <c r="C85" s="150" t="e">
        <f>'Rpt-2'!C73</f>
        <v>#N/A</v>
      </c>
      <c r="D85" s="151" t="e">
        <f>'Rpt-2'!D73</f>
        <v>#N/A</v>
      </c>
      <c r="E85" s="152" t="e">
        <f>'Rpt-2'!E73</f>
        <v>#N/A</v>
      </c>
      <c r="F85" s="153" t="e">
        <f>'Rpt-2'!F73</f>
        <v>#N/A</v>
      </c>
      <c r="G85" s="154" t="str">
        <f>IF('Rpt-2'!G73="","",'Rpt-2'!G73)</f>
        <v xml:space="preserve"> </v>
      </c>
      <c r="H85" s="155" t="str">
        <f>IF('Rpt-2'!H73="","",'Rpt-2'!H73)</f>
        <v/>
      </c>
      <c r="I85" s="156" t="str">
        <f>IF('Rpt-2'!I73="","",'Rpt-2'!I73)</f>
        <v/>
      </c>
      <c r="J85" s="157">
        <f>'Rpt-2'!J73</f>
        <v>0</v>
      </c>
      <c r="K85" s="251"/>
      <c r="L85"/>
      <c r="M85"/>
      <c r="N85"/>
      <c r="O85"/>
      <c r="P85"/>
      <c r="Q85"/>
      <c r="R85"/>
      <c r="S85"/>
      <c r="T85"/>
      <c r="U85"/>
      <c r="V85"/>
    </row>
    <row r="86" spans="1:22" ht="12.75" customHeight="1" x14ac:dyDescent="0.3">
      <c r="A86" s="158">
        <f>'Rpt-2'!A74</f>
        <v>100</v>
      </c>
      <c r="B86" s="159" t="e">
        <f>'Rpt-2'!B74</f>
        <v>#N/A</v>
      </c>
      <c r="C86" s="160" t="e">
        <f>'Rpt-2'!C74</f>
        <v>#N/A</v>
      </c>
      <c r="D86" s="161" t="e">
        <f>'Rpt-2'!D74</f>
        <v>#N/A</v>
      </c>
      <c r="E86" s="162" t="e">
        <f>'Rpt-2'!E74</f>
        <v>#N/A</v>
      </c>
      <c r="F86" s="163" t="e">
        <f>'Rpt-2'!F74</f>
        <v>#N/A</v>
      </c>
      <c r="G86" s="164" t="str">
        <f>IF('Rpt-2'!G74="","",'Rpt-2'!G74)</f>
        <v xml:space="preserve"> </v>
      </c>
      <c r="H86" s="165" t="str">
        <f>IF('Rpt-2'!H74="","",'Rpt-2'!H74)</f>
        <v xml:space="preserve"> </v>
      </c>
      <c r="I86" s="166" t="str">
        <f>IF('Rpt-2'!I74="","",'Rpt-2'!I74)</f>
        <v/>
      </c>
      <c r="J86" s="167">
        <f>'Rpt-2'!J74</f>
        <v>0</v>
      </c>
      <c r="K86" s="251"/>
      <c r="L86"/>
      <c r="M86"/>
      <c r="N86"/>
      <c r="O86"/>
      <c r="P86"/>
      <c r="Q86"/>
      <c r="R86"/>
      <c r="S86"/>
      <c r="T86"/>
      <c r="U86"/>
      <c r="V86"/>
    </row>
    <row r="87" spans="1:22" ht="12.75" customHeight="1" x14ac:dyDescent="0.3">
      <c r="A87" s="158">
        <f>'Rpt-2'!A75</f>
        <v>150</v>
      </c>
      <c r="B87" s="159" t="e">
        <f>'Rpt-2'!B75</f>
        <v>#N/A</v>
      </c>
      <c r="C87" s="160" t="e">
        <f>'Rpt-2'!C75</f>
        <v>#N/A</v>
      </c>
      <c r="D87" s="161" t="e">
        <f>'Rpt-2'!D75</f>
        <v>#N/A</v>
      </c>
      <c r="E87" s="162" t="e">
        <f>'Rpt-2'!E75</f>
        <v>#N/A</v>
      </c>
      <c r="F87" s="163" t="e">
        <f>'Rpt-2'!F75</f>
        <v>#N/A</v>
      </c>
      <c r="G87" s="164" t="e">
        <f>IF('Rpt-2'!G75="","",'Rpt-2'!G75)</f>
        <v>#N/A</v>
      </c>
      <c r="H87" s="168" t="str">
        <f>IF('Rpt-2'!H75="","",'Rpt-2'!H75)</f>
        <v/>
      </c>
      <c r="I87" s="166" t="str">
        <f>IF('Rpt-2'!I75="","",'Rpt-2'!I75)</f>
        <v/>
      </c>
      <c r="J87" s="169" t="str">
        <f>'Rpt-2'!J75</f>
        <v xml:space="preserve"> </v>
      </c>
      <c r="K87" s="252"/>
      <c r="L87"/>
      <c r="M87"/>
      <c r="N87"/>
      <c r="O87"/>
      <c r="P87"/>
      <c r="Q87"/>
      <c r="R87"/>
      <c r="S87"/>
      <c r="T87"/>
      <c r="U87"/>
      <c r="V87"/>
    </row>
    <row r="88" spans="1:22" ht="12.75" customHeight="1" x14ac:dyDescent="0.3">
      <c r="A88" s="158">
        <f>'Rpt-2'!A76</f>
        <v>200</v>
      </c>
      <c r="B88" s="159" t="e">
        <f>'Rpt-2'!B76</f>
        <v>#N/A</v>
      </c>
      <c r="C88" s="160" t="e">
        <f>'Rpt-2'!C76</f>
        <v>#N/A</v>
      </c>
      <c r="D88" s="161" t="e">
        <f>'Rpt-2'!D76</f>
        <v>#N/A</v>
      </c>
      <c r="E88" s="162" t="e">
        <f>'Rpt-2'!E76</f>
        <v>#N/A</v>
      </c>
      <c r="F88" s="163" t="e">
        <f>'Rpt-2'!F76</f>
        <v>#N/A</v>
      </c>
      <c r="G88" s="164" t="e">
        <f>IF('Rpt-2'!G76="","",'Rpt-2'!G76)</f>
        <v>#N/A</v>
      </c>
      <c r="H88" s="165" t="e">
        <f>IF('Rpt-2'!H76="","",'Rpt-2'!H76)</f>
        <v>#N/A</v>
      </c>
      <c r="I88" s="159" t="e">
        <f>IF('Rpt-2'!I76="","",'Rpt-2'!I76)</f>
        <v>#N/A</v>
      </c>
      <c r="J88" s="169" t="str">
        <f>'Rpt-2'!J76</f>
        <v xml:space="preserve"> </v>
      </c>
      <c r="K88" s="252"/>
      <c r="L88"/>
      <c r="M88"/>
      <c r="N88"/>
      <c r="O88"/>
      <c r="P88"/>
      <c r="Q88"/>
      <c r="R88"/>
      <c r="S88"/>
      <c r="T88"/>
      <c r="U88"/>
      <c r="V88"/>
    </row>
    <row r="89" spans="1:22" ht="12.75" customHeight="1" x14ac:dyDescent="0.3">
      <c r="A89" s="158" t="str">
        <f>'Rpt-2'!A77</f>
        <v xml:space="preserve"> </v>
      </c>
      <c r="B89" s="159" t="str">
        <f>'Rpt-2'!B77</f>
        <v xml:space="preserve"> </v>
      </c>
      <c r="C89" s="160" t="str">
        <f>'Rpt-2'!C77</f>
        <v xml:space="preserve"> </v>
      </c>
      <c r="D89" s="161" t="str">
        <f>'Rpt-2'!D77</f>
        <v xml:space="preserve"> </v>
      </c>
      <c r="E89" s="162" t="str">
        <f>'Rpt-2'!E77</f>
        <v xml:space="preserve"> </v>
      </c>
      <c r="F89" s="163" t="str">
        <f>'Rpt-2'!F77</f>
        <v xml:space="preserve"> </v>
      </c>
      <c r="G89" s="164" t="str">
        <f>IF('Rpt-2'!G77="","",'Rpt-2'!G77)</f>
        <v xml:space="preserve"> </v>
      </c>
      <c r="H89" s="165" t="str">
        <f>IF('Rpt-2'!H77="","",'Rpt-2'!H77)</f>
        <v xml:space="preserve"> </v>
      </c>
      <c r="I89" s="166" t="str">
        <f>IF('Rpt-2'!I77="","",'Rpt-2'!I77)</f>
        <v/>
      </c>
      <c r="J89" s="169" t="str">
        <f>'Rpt-2'!J77</f>
        <v xml:space="preserve"> </v>
      </c>
      <c r="K89" s="252"/>
      <c r="L89"/>
      <c r="M89"/>
      <c r="N89"/>
      <c r="O89"/>
      <c r="P89"/>
      <c r="Q89"/>
      <c r="R89"/>
      <c r="S89"/>
      <c r="T89"/>
      <c r="U89"/>
      <c r="V89"/>
    </row>
    <row r="90" spans="1:22" ht="12.75" customHeight="1" x14ac:dyDescent="0.3">
      <c r="A90" s="170" t="str">
        <f>'Rpt-2'!A78</f>
        <v xml:space="preserve"> </v>
      </c>
      <c r="B90" s="171" t="str">
        <f>'Rpt-2'!B78</f>
        <v xml:space="preserve"> </v>
      </c>
      <c r="C90" s="172" t="str">
        <f>'Rpt-2'!C78</f>
        <v xml:space="preserve"> </v>
      </c>
      <c r="D90" s="173" t="str">
        <f>'Rpt-2'!D78</f>
        <v xml:space="preserve"> </v>
      </c>
      <c r="E90" s="174" t="str">
        <f>'Rpt-2'!E78</f>
        <v xml:space="preserve"> </v>
      </c>
      <c r="F90" s="175" t="str">
        <f>'Rpt-2'!F78</f>
        <v xml:space="preserve"> </v>
      </c>
      <c r="G90" s="176" t="str">
        <f>IF('Rpt-2'!G78="","",'Rpt-2'!G78)</f>
        <v xml:space="preserve"> </v>
      </c>
      <c r="H90" s="177" t="str">
        <f>IF('Rpt-2'!H78="","",'Rpt-2'!H78)</f>
        <v xml:space="preserve"> </v>
      </c>
      <c r="I90" s="171" t="str">
        <f>IF('Rpt-2'!I78="","",'Rpt-2'!I78)</f>
        <v xml:space="preserve"> </v>
      </c>
      <c r="J90" s="178" t="str">
        <f>'Rpt-2'!J78</f>
        <v xml:space="preserve"> </v>
      </c>
      <c r="K90" s="252"/>
      <c r="L90"/>
      <c r="M90"/>
      <c r="N90"/>
      <c r="O90"/>
      <c r="P90"/>
      <c r="Q90"/>
      <c r="R90"/>
      <c r="S90"/>
      <c r="T90"/>
      <c r="U90"/>
      <c r="V90"/>
    </row>
    <row r="91" spans="1:22" ht="12.75" customHeight="1" x14ac:dyDescent="0.3">
      <c r="A91" s="179" t="str">
        <f>'Rpt-2'!A79</f>
        <v>Average</v>
      </c>
      <c r="B91" s="180"/>
      <c r="C91" s="181" t="e">
        <f>'Rpt-2'!C79</f>
        <v>#N/A</v>
      </c>
      <c r="D91" s="182" t="e">
        <f>'Rpt-2'!D79</f>
        <v>#N/A</v>
      </c>
      <c r="E91" s="183" t="e">
        <f>'Rpt-2'!E79</f>
        <v>#N/A</v>
      </c>
      <c r="F91" s="184" t="e">
        <f>'Rpt-2'!F79</f>
        <v>#N/A</v>
      </c>
      <c r="G91" s="176" t="e">
        <f>'Rpt-2'!G79</f>
        <v>#N/A</v>
      </c>
      <c r="H91" s="180"/>
      <c r="I91" s="180"/>
      <c r="J91" s="185" t="str">
        <f>'Rpt-2'!J79</f>
        <v/>
      </c>
      <c r="K91" s="253"/>
      <c r="L91"/>
      <c r="M91"/>
      <c r="N91"/>
      <c r="O91"/>
      <c r="P91"/>
      <c r="Q91"/>
      <c r="R91"/>
      <c r="S91"/>
      <c r="T91"/>
      <c r="U91"/>
      <c r="V91"/>
    </row>
    <row r="92" spans="1:22" ht="12.75" customHeight="1" x14ac:dyDescent="0.3">
      <c r="A92" s="194"/>
      <c r="B92" s="128"/>
      <c r="C92" s="128"/>
      <c r="D92" s="128"/>
      <c r="E92" s="128"/>
      <c r="F92" s="128"/>
      <c r="G92" s="128"/>
      <c r="H92" s="128"/>
      <c r="I92" s="128"/>
      <c r="J92" s="128"/>
      <c r="K92" s="128"/>
      <c r="L92" s="67"/>
      <c r="M92"/>
      <c r="N92"/>
      <c r="O92"/>
      <c r="P92"/>
      <c r="Q92"/>
      <c r="R92"/>
      <c r="S92"/>
      <c r="T92"/>
      <c r="U92"/>
      <c r="V92"/>
    </row>
    <row r="93" spans="1:22" ht="12.75" customHeight="1" x14ac:dyDescent="0.3">
      <c r="A93" s="306" t="str">
        <f>'Rpt-1'!A70:K70</f>
        <v>Summary Data - K1 1000 A Final</v>
      </c>
      <c r="B93" s="307"/>
      <c r="C93" s="307"/>
      <c r="D93" s="307"/>
      <c r="E93" s="307"/>
      <c r="F93" s="307"/>
      <c r="G93" s="307"/>
      <c r="H93" s="307"/>
      <c r="I93" s="307"/>
      <c r="J93" s="307"/>
      <c r="K93" s="337"/>
      <c r="L93"/>
      <c r="M93"/>
      <c r="N93"/>
      <c r="O93"/>
      <c r="P93"/>
      <c r="Q93"/>
      <c r="R93"/>
      <c r="S93"/>
      <c r="T93"/>
      <c r="U93"/>
      <c r="V93"/>
    </row>
    <row r="94" spans="1:22" ht="12.75" customHeight="1" x14ac:dyDescent="0.3">
      <c r="A94" s="256"/>
      <c r="B94" s="129"/>
      <c r="C94" s="332" t="str">
        <f>'Rpt-1'!C71</f>
        <v>Avge</v>
      </c>
      <c r="D94" s="333"/>
      <c r="E94" s="140" t="str">
        <f>'Rpt-1'!E71</f>
        <v xml:space="preserve">Dist </v>
      </c>
      <c r="F94" s="141"/>
      <c r="G94" s="332" t="str">
        <f>'Rpt-1'!G71</f>
        <v>Split Time and Diffs</v>
      </c>
      <c r="H94" s="334"/>
      <c r="I94" s="333"/>
      <c r="J94" s="335" t="str">
        <f>'Rpt-1'!J71</f>
        <v>Pace per 250</v>
      </c>
      <c r="K94" s="335"/>
      <c r="L94"/>
      <c r="M94"/>
      <c r="N94"/>
      <c r="O94"/>
      <c r="P94"/>
      <c r="Q94"/>
      <c r="R94"/>
      <c r="S94"/>
      <c r="T94"/>
      <c r="U94"/>
      <c r="V94"/>
    </row>
    <row r="95" spans="1:22" ht="12.75" customHeight="1" x14ac:dyDescent="0.3">
      <c r="A95" s="142" t="str">
        <f>'Rpt-1'!A72</f>
        <v>Splits</v>
      </c>
      <c r="B95" s="143" t="str">
        <f>'Rpt-1'!B72</f>
        <v>Time</v>
      </c>
      <c r="C95" s="144" t="str">
        <f>'Rpt-1'!C72</f>
        <v>Vel (km/h)</v>
      </c>
      <c r="D95" s="145" t="str">
        <f>'Rpt-1'!D72</f>
        <v>Str. Rte.</v>
      </c>
      <c r="E95" s="146" t="str">
        <f>'Rpt-1'!E72</f>
        <v>per str</v>
      </c>
      <c r="F95" s="146" t="str">
        <f>'Rpt-1'!F72</f>
        <v>eWPS</v>
      </c>
      <c r="G95" s="144" t="str">
        <f>'Rpt-1'!G72</f>
        <v>250 m</v>
      </c>
      <c r="H95" s="147" t="str">
        <f>'Rpt-1'!H72</f>
        <v>250 m Diff</v>
      </c>
      <c r="I95" s="145" t="str">
        <f>'Rpt-1'!I72</f>
        <v>500 m</v>
      </c>
      <c r="J95" s="338"/>
      <c r="K95" s="336"/>
      <c r="L95"/>
      <c r="M95"/>
      <c r="N95"/>
      <c r="O95"/>
      <c r="P95"/>
      <c r="Q95"/>
      <c r="R95"/>
      <c r="S95"/>
      <c r="T95"/>
      <c r="U95"/>
      <c r="V95"/>
    </row>
    <row r="96" spans="1:22" ht="12.75" customHeight="1" x14ac:dyDescent="0.3">
      <c r="A96" s="203">
        <f>'Rpt-1'!A73</f>
        <v>50</v>
      </c>
      <c r="B96" s="149">
        <f>'Rpt-1'!B73</f>
        <v>1.273148148148148E-4</v>
      </c>
      <c r="C96" s="150">
        <f>'Rpt-1'!C73</f>
        <v>16.363636363636367</v>
      </c>
      <c r="D96" s="151">
        <f>'Rpt-1'!D73</f>
        <v>142.47999999999999</v>
      </c>
      <c r="E96" s="152">
        <f>'Rpt-1'!E73</f>
        <v>1.9141442499106733</v>
      </c>
      <c r="F96" s="153">
        <f>'Rpt-1'!F73</f>
        <v>39.548434915509787</v>
      </c>
      <c r="G96" s="154" t="str">
        <f>IF('Rpt-1'!G73="","",'Rpt-1'!G73)</f>
        <v xml:space="preserve"> </v>
      </c>
      <c r="H96" s="155" t="str">
        <f>IF('Rpt-1'!H73="","",'Rpt-1'!H73)</f>
        <v/>
      </c>
      <c r="I96" s="156" t="str">
        <f>IF('Rpt-1'!I73="","",'Rpt-1'!I73)</f>
        <v/>
      </c>
      <c r="J96" s="157">
        <f>'Rpt-1'!J73</f>
        <v>0</v>
      </c>
      <c r="K96" s="255"/>
      <c r="L96"/>
      <c r="M96"/>
      <c r="N96"/>
      <c r="O96"/>
      <c r="P96"/>
      <c r="Q96"/>
      <c r="R96"/>
      <c r="S96"/>
      <c r="T96"/>
      <c r="U96"/>
      <c r="V96"/>
    </row>
    <row r="97" spans="1:22" ht="12.75" customHeight="1" x14ac:dyDescent="0.3">
      <c r="A97" s="158">
        <f>'Rpt-1'!A74</f>
        <v>100</v>
      </c>
      <c r="B97" s="159">
        <f>'Rpt-1'!B74</f>
        <v>2.3599537037037038E-4</v>
      </c>
      <c r="C97" s="160">
        <f>'Rpt-1'!C74</f>
        <v>19.169329073482423</v>
      </c>
      <c r="D97" s="161">
        <f>'Rpt-1'!D74</f>
        <v>124.42</v>
      </c>
      <c r="E97" s="162">
        <f>'Rpt-1'!E74</f>
        <v>2.5678252523016694</v>
      </c>
      <c r="F97" s="163">
        <f>'Rpt-1'!F74</f>
        <v>72.807193327074771</v>
      </c>
      <c r="G97" s="164" t="str">
        <f>IF('Rpt-1'!G74="","",'Rpt-1'!G74)</f>
        <v xml:space="preserve"> </v>
      </c>
      <c r="H97" s="165" t="str">
        <f>IF('Rpt-1'!H74="","",'Rpt-1'!H74)</f>
        <v xml:space="preserve"> </v>
      </c>
      <c r="I97" s="166" t="str">
        <f>IF('Rpt-1'!I74="","",'Rpt-1'!I74)</f>
        <v/>
      </c>
      <c r="J97" s="167">
        <f>'Rpt-1'!J74</f>
        <v>0</v>
      </c>
      <c r="K97" s="190"/>
      <c r="L97"/>
      <c r="M97"/>
      <c r="N97"/>
      <c r="O97"/>
      <c r="P97"/>
      <c r="Q97"/>
      <c r="R97"/>
      <c r="S97"/>
      <c r="T97"/>
      <c r="U97"/>
      <c r="V97"/>
    </row>
    <row r="98" spans="1:22" ht="12.75" customHeight="1" x14ac:dyDescent="0.3">
      <c r="A98" s="158">
        <f>'Rpt-1'!A75</f>
        <v>250</v>
      </c>
      <c r="B98" s="159">
        <f>'Rpt-1'!B75</f>
        <v>5.9247685185185184E-4</v>
      </c>
      <c r="C98" s="160">
        <f>'Rpt-1'!C75</f>
        <v>17.532467532467532</v>
      </c>
      <c r="D98" s="161">
        <f>'Rpt-1'!D75</f>
        <v>109.09</v>
      </c>
      <c r="E98" s="162">
        <f>'Rpt-1'!E75</f>
        <v>2.6785937501860131</v>
      </c>
      <c r="F98" s="163">
        <f>'Rpt-1'!F75</f>
        <v>63.531328406123805</v>
      </c>
      <c r="G98" s="164">
        <f>IF('Rpt-1'!G75="","",'Rpt-1'!G75)</f>
        <v>5.9247685185185184E-4</v>
      </c>
      <c r="H98" s="168" t="str">
        <f>IF('Rpt-1'!H75="","",'Rpt-1'!H75)</f>
        <v/>
      </c>
      <c r="I98" s="166" t="str">
        <f>IF('Rpt-1'!I75="","",'Rpt-1'!I75)</f>
        <v/>
      </c>
      <c r="J98" s="169">
        <f>'Rpt-1'!J75</f>
        <v>2.3699074074074074E-3</v>
      </c>
      <c r="K98" s="191"/>
      <c r="L98"/>
      <c r="M98"/>
      <c r="N98"/>
      <c r="O98"/>
      <c r="P98"/>
      <c r="Q98"/>
      <c r="R98"/>
      <c r="S98"/>
      <c r="T98"/>
      <c r="U98"/>
      <c r="V98"/>
    </row>
    <row r="99" spans="1:22" ht="12.75" customHeight="1" x14ac:dyDescent="0.3">
      <c r="A99" s="158">
        <f>'Rpt-1'!A76</f>
        <v>500</v>
      </c>
      <c r="B99" s="159">
        <f>'Rpt-1'!B76</f>
        <v>1.2726851851851851E-3</v>
      </c>
      <c r="C99" s="160">
        <f>'Rpt-1'!C76</f>
        <v>15.31393568147014</v>
      </c>
      <c r="D99" s="161">
        <f>'Rpt-1'!D76</f>
        <v>99.08</v>
      </c>
      <c r="E99" s="162">
        <f>'Rpt-1'!E76</f>
        <v>2.5760220161267227</v>
      </c>
      <c r="F99" s="163">
        <f>'Rpt-1'!F76</f>
        <v>46.614196903436735</v>
      </c>
      <c r="G99" s="164">
        <f>IF('Rpt-1'!G76="","",'Rpt-1'!G76)</f>
        <v>6.8020833333333323E-4</v>
      </c>
      <c r="H99" s="165">
        <f>IF('Rpt-1'!H76="","",'Rpt-1'!H76)</f>
        <v>8.7731481481481384E-5</v>
      </c>
      <c r="I99" s="159">
        <f>IF('Rpt-1'!I76="","",'Rpt-1'!I76)</f>
        <v>1.2726851851851851E-3</v>
      </c>
      <c r="J99" s="169">
        <f>'Rpt-1'!J76</f>
        <v>2.7208333333333329E-3</v>
      </c>
      <c r="K99" s="191"/>
      <c r="L99"/>
      <c r="M99"/>
      <c r="N99"/>
      <c r="O99"/>
      <c r="P99"/>
      <c r="Q99"/>
      <c r="R99"/>
      <c r="S99"/>
      <c r="T99"/>
      <c r="U99"/>
      <c r="V99"/>
    </row>
    <row r="100" spans="1:22" ht="12.75" customHeight="1" x14ac:dyDescent="0.3">
      <c r="A100" s="158">
        <f>'Rpt-1'!A77</f>
        <v>750</v>
      </c>
      <c r="B100" s="159">
        <f>'Rpt-1'!B77</f>
        <v>1.9600694444444444E-3</v>
      </c>
      <c r="C100" s="160">
        <f>'Rpt-1'!C77</f>
        <v>15.15406634113487</v>
      </c>
      <c r="D100" s="161">
        <f>'Rpt-1'!D77</f>
        <v>103.05</v>
      </c>
      <c r="E100" s="162">
        <f>'Rpt-1'!E77</f>
        <v>2.4509245254948842</v>
      </c>
      <c r="F100" s="163">
        <f>'Rpt-1'!F77</f>
        <v>43.429347505734192</v>
      </c>
      <c r="G100" s="164">
        <f>IF('Rpt-1'!G77="","",'Rpt-1'!G77)</f>
        <v>6.8738425925925933E-4</v>
      </c>
      <c r="H100" s="165">
        <f>IF('Rpt-1'!H77="","",'Rpt-1'!H77)</f>
        <v>7.1759259259260993E-6</v>
      </c>
      <c r="I100" s="166" t="str">
        <f>IF('Rpt-1'!I77="","",'Rpt-1'!I77)</f>
        <v/>
      </c>
      <c r="J100" s="169">
        <f>'Rpt-1'!J77</f>
        <v>2.7495370370370373E-3</v>
      </c>
      <c r="K100" s="191"/>
      <c r="L100"/>
      <c r="M100"/>
      <c r="N100"/>
      <c r="O100"/>
      <c r="P100"/>
      <c r="Q100"/>
      <c r="R100"/>
      <c r="S100"/>
      <c r="T100"/>
      <c r="U100"/>
      <c r="V100"/>
    </row>
    <row r="101" spans="1:22" ht="12.75" customHeight="1" x14ac:dyDescent="0.3">
      <c r="A101" s="204">
        <f>'Rpt-1'!A78</f>
        <v>1000</v>
      </c>
      <c r="B101" s="171">
        <f>'Rpt-1'!B78</f>
        <v>2.6606481481481481E-3</v>
      </c>
      <c r="C101" s="172">
        <f>'Rpt-1'!C78</f>
        <v>14.868660168511482</v>
      </c>
      <c r="D101" s="173">
        <f>'Rpt-1'!D78</f>
        <v>97.47</v>
      </c>
      <c r="E101" s="174">
        <f>'Rpt-1'!E78</f>
        <v>2.5424335981176229</v>
      </c>
      <c r="F101" s="175">
        <f>'Rpt-1'!F78</f>
        <v>43.369886800182677</v>
      </c>
      <c r="G101" s="176">
        <f>IF('Rpt-1'!G78="","",'Rpt-1'!G78)</f>
        <v>7.0057870370370369E-4</v>
      </c>
      <c r="H101" s="177">
        <f>IF('Rpt-1'!H78="","",'Rpt-1'!H78)</f>
        <v>1.3194444444444365E-5</v>
      </c>
      <c r="I101" s="171">
        <f>IF('Rpt-1'!I78="","",'Rpt-1'!I78)</f>
        <v>1.387962962962963E-3</v>
      </c>
      <c r="J101" s="178">
        <f>'Rpt-1'!J78</f>
        <v>2.8023148148148148E-3</v>
      </c>
      <c r="K101" s="254"/>
      <c r="L101"/>
      <c r="M101"/>
      <c r="N101"/>
      <c r="O101"/>
      <c r="P101"/>
      <c r="Q101"/>
      <c r="R101"/>
      <c r="S101"/>
      <c r="T101"/>
      <c r="U101"/>
      <c r="V101"/>
    </row>
    <row r="102" spans="1:22" ht="12.75" customHeight="1" x14ac:dyDescent="0.3">
      <c r="A102" s="179" t="str">
        <f>'Rpt-1'!A79</f>
        <v>Average</v>
      </c>
      <c r="B102" s="180"/>
      <c r="C102" s="181">
        <f>'Rpt-1'!C79</f>
        <v>16.40034919345047</v>
      </c>
      <c r="D102" s="182">
        <f>'Rpt-1'!D79</f>
        <v>112.59833333333334</v>
      </c>
      <c r="E102" s="183">
        <f>'Rpt-1'!E79</f>
        <v>2.454990565356264</v>
      </c>
      <c r="F102" s="184">
        <f>'Rpt-1'!F79</f>
        <v>53.950390588510437</v>
      </c>
      <c r="G102" s="176">
        <f>'Rpt-1'!G79</f>
        <v>6.6516203703703702E-4</v>
      </c>
      <c r="H102" s="180"/>
      <c r="I102" s="180"/>
      <c r="J102" s="185">
        <f>'Rpt-1'!J79</f>
        <v>2.6606481481481481E-3</v>
      </c>
      <c r="K102" s="196"/>
      <c r="L102"/>
      <c r="M102"/>
      <c r="N102"/>
      <c r="O102"/>
      <c r="P102"/>
      <c r="Q102"/>
      <c r="R102"/>
      <c r="S102"/>
      <c r="T102"/>
      <c r="U102"/>
      <c r="V102"/>
    </row>
    <row r="103" spans="1:22" ht="12.75" customHeight="1" x14ac:dyDescent="0.3">
      <c r="A103" s="192"/>
      <c r="B103" s="128"/>
      <c r="C103" s="128"/>
      <c r="D103" s="128"/>
      <c r="E103" s="128"/>
      <c r="F103" s="128"/>
      <c r="G103" s="128"/>
      <c r="H103" s="128"/>
      <c r="I103" s="128"/>
      <c r="J103" s="128"/>
      <c r="K103" s="192"/>
      <c r="L103"/>
      <c r="M103"/>
      <c r="N103"/>
      <c r="O103"/>
      <c r="P103"/>
      <c r="Q103"/>
      <c r="R103"/>
      <c r="S103"/>
      <c r="T103"/>
      <c r="U103"/>
      <c r="V103"/>
    </row>
    <row r="104" spans="1:22" ht="12.75" customHeight="1" x14ac:dyDescent="0.3">
      <c r="A104" s="128"/>
      <c r="B104" s="128"/>
      <c r="C104" s="128"/>
      <c r="D104" s="128"/>
      <c r="E104" s="128"/>
      <c r="F104" s="128"/>
      <c r="G104" s="128"/>
      <c r="H104" s="128"/>
      <c r="I104" s="128"/>
      <c r="J104" s="128"/>
      <c r="K104" s="128"/>
      <c r="L104"/>
      <c r="M104"/>
      <c r="N104"/>
      <c r="O104"/>
      <c r="P104"/>
      <c r="Q104"/>
      <c r="R104"/>
      <c r="S104"/>
      <c r="T104"/>
      <c r="U104"/>
      <c r="V104"/>
    </row>
    <row r="105" spans="1:22" ht="14.4" x14ac:dyDescent="0.3">
      <c r="A105" s="303" t="s">
        <v>294</v>
      </c>
      <c r="B105" s="303"/>
      <c r="C105" s="303"/>
      <c r="D105" s="303"/>
      <c r="E105" s="303"/>
      <c r="F105" s="233"/>
      <c r="G105" s="303" t="s">
        <v>293</v>
      </c>
      <c r="H105" s="303"/>
      <c r="I105" s="303"/>
      <c r="J105" s="303"/>
      <c r="K105" s="303"/>
      <c r="L105"/>
      <c r="M105"/>
      <c r="N105"/>
      <c r="O105"/>
      <c r="P105"/>
      <c r="Q105"/>
      <c r="R105"/>
      <c r="S105"/>
      <c r="T105"/>
      <c r="U105"/>
      <c r="V105"/>
    </row>
    <row r="106" spans="1:22" ht="12.75" customHeight="1" x14ac:dyDescent="0.3">
      <c r="A106" s="128"/>
      <c r="B106" s="128"/>
      <c r="C106" s="128"/>
      <c r="D106" s="128"/>
      <c r="E106" s="128"/>
      <c r="F106" s="128"/>
      <c r="G106" s="128"/>
      <c r="H106" s="128"/>
      <c r="I106" s="128"/>
      <c r="J106" s="128"/>
      <c r="K106" s="128"/>
      <c r="L106"/>
      <c r="M106"/>
      <c r="N106"/>
      <c r="O106"/>
      <c r="P106"/>
      <c r="Q106"/>
      <c r="R106"/>
      <c r="S106"/>
      <c r="T106"/>
      <c r="U106"/>
      <c r="V106"/>
    </row>
    <row r="107" spans="1:22" ht="12.75" customHeight="1" x14ac:dyDescent="0.3">
      <c r="A107" s="128"/>
      <c r="B107" s="128"/>
      <c r="C107" s="128"/>
      <c r="D107" s="128"/>
      <c r="E107" s="128"/>
      <c r="F107" s="128"/>
      <c r="G107" s="128"/>
      <c r="H107" s="128"/>
      <c r="I107" s="128"/>
      <c r="J107" s="128"/>
      <c r="K107" s="128"/>
      <c r="L107"/>
      <c r="M107"/>
      <c r="N107"/>
      <c r="O107"/>
      <c r="P107"/>
      <c r="Q107"/>
      <c r="R107"/>
      <c r="S107"/>
      <c r="T107"/>
      <c r="U107"/>
      <c r="V107"/>
    </row>
    <row r="108" spans="1:22" ht="12.75" customHeight="1" x14ac:dyDescent="0.3">
      <c r="A108" s="128"/>
      <c r="B108" s="128"/>
      <c r="C108" s="128"/>
      <c r="D108" s="128"/>
      <c r="E108" s="128"/>
      <c r="F108" s="128"/>
      <c r="G108" s="128"/>
      <c r="H108" s="128"/>
      <c r="I108" s="128"/>
      <c r="J108" s="128"/>
      <c r="K108" s="128"/>
      <c r="L108"/>
      <c r="M108"/>
      <c r="N108"/>
      <c r="O108"/>
      <c r="P108"/>
      <c r="Q108"/>
      <c r="R108"/>
      <c r="S108"/>
      <c r="T108"/>
      <c r="U108"/>
      <c r="V108"/>
    </row>
    <row r="109" spans="1:22" ht="12.75" customHeight="1" x14ac:dyDescent="0.3">
      <c r="A109" s="128"/>
      <c r="B109" s="128"/>
      <c r="C109" s="128"/>
      <c r="D109" s="128"/>
      <c r="E109" s="128"/>
      <c r="F109" s="128"/>
      <c r="G109" s="128"/>
      <c r="H109" s="128"/>
      <c r="I109" s="128"/>
      <c r="J109" s="128"/>
      <c r="K109" s="128"/>
      <c r="L109"/>
      <c r="M109"/>
      <c r="N109"/>
      <c r="O109"/>
      <c r="P109"/>
      <c r="Q109"/>
      <c r="R109"/>
      <c r="S109"/>
      <c r="T109"/>
      <c r="U109"/>
      <c r="V109"/>
    </row>
    <row r="110" spans="1:22" ht="12.75" customHeight="1" x14ac:dyDescent="0.3">
      <c r="A110" s="128"/>
      <c r="B110" s="128"/>
      <c r="C110" s="128"/>
      <c r="D110" s="128"/>
      <c r="E110" s="128"/>
      <c r="F110" s="128"/>
      <c r="G110" s="128"/>
      <c r="H110" s="128"/>
      <c r="I110" s="128"/>
      <c r="J110" s="128"/>
      <c r="K110" s="128"/>
      <c r="L110"/>
      <c r="M110"/>
      <c r="N110"/>
      <c r="O110"/>
      <c r="P110"/>
      <c r="Q110"/>
      <c r="R110"/>
      <c r="S110"/>
      <c r="T110"/>
      <c r="U110"/>
      <c r="V110"/>
    </row>
    <row r="111" spans="1:22" ht="12.75" customHeight="1" x14ac:dyDescent="0.3">
      <c r="A111" s="128"/>
      <c r="B111" s="128"/>
      <c r="C111" s="128"/>
      <c r="D111" s="128"/>
      <c r="E111" s="128"/>
      <c r="F111" s="128"/>
      <c r="G111" s="128"/>
      <c r="H111" s="128"/>
      <c r="I111" s="128"/>
      <c r="J111" s="128"/>
      <c r="K111" s="128"/>
      <c r="L111"/>
      <c r="M111"/>
      <c r="N111"/>
      <c r="O111"/>
      <c r="P111"/>
      <c r="Q111"/>
      <c r="R111"/>
      <c r="S111"/>
      <c r="T111"/>
      <c r="U111"/>
      <c r="V111"/>
    </row>
    <row r="112" spans="1:22" ht="12.75" customHeight="1" x14ac:dyDescent="0.3">
      <c r="A112" s="128"/>
      <c r="B112" s="128"/>
      <c r="C112" s="128"/>
      <c r="D112" s="128"/>
      <c r="E112" s="128"/>
      <c r="F112" s="128"/>
      <c r="G112" s="128"/>
      <c r="H112" s="128"/>
      <c r="I112" s="128"/>
      <c r="J112" s="128"/>
      <c r="K112" s="128"/>
      <c r="L112"/>
      <c r="M112"/>
      <c r="N112"/>
      <c r="O112"/>
      <c r="P112"/>
      <c r="Q112"/>
      <c r="R112"/>
      <c r="S112"/>
      <c r="T112"/>
      <c r="U112"/>
      <c r="V112"/>
    </row>
    <row r="113" spans="1:22" ht="12.75" customHeight="1" x14ac:dyDescent="0.3">
      <c r="A113" s="128"/>
      <c r="B113" s="128"/>
      <c r="C113" s="128"/>
      <c r="D113" s="128"/>
      <c r="E113" s="128"/>
      <c r="F113" s="128"/>
      <c r="G113" s="128"/>
      <c r="H113" s="128"/>
      <c r="I113" s="128"/>
      <c r="J113" s="128"/>
      <c r="K113" s="128"/>
      <c r="L113"/>
      <c r="M113"/>
      <c r="N113"/>
      <c r="O113"/>
      <c r="P113"/>
      <c r="Q113"/>
      <c r="R113"/>
      <c r="S113"/>
      <c r="T113"/>
      <c r="U113"/>
      <c r="V113"/>
    </row>
    <row r="114" spans="1:22" ht="12.75" customHeight="1" x14ac:dyDescent="0.3">
      <c r="A114" s="128"/>
      <c r="B114" s="128"/>
      <c r="C114" s="128"/>
      <c r="D114" s="128"/>
      <c r="E114" s="128"/>
      <c r="F114" s="128"/>
      <c r="G114" s="128"/>
      <c r="H114" s="128"/>
      <c r="I114" s="128"/>
      <c r="J114" s="128"/>
      <c r="K114" s="128"/>
      <c r="L114"/>
      <c r="M114"/>
      <c r="N114"/>
      <c r="O114"/>
      <c r="P114"/>
      <c r="Q114"/>
      <c r="R114"/>
      <c r="S114"/>
      <c r="T114"/>
      <c r="U114"/>
      <c r="V114"/>
    </row>
    <row r="115" spans="1:22" ht="12.75" customHeight="1" x14ac:dyDescent="0.3">
      <c r="A115" s="128"/>
      <c r="B115" s="128"/>
      <c r="C115" s="128"/>
      <c r="D115" s="128"/>
      <c r="E115" s="128"/>
      <c r="F115" s="128"/>
      <c r="G115" s="128"/>
      <c r="H115" s="128"/>
      <c r="I115" s="128"/>
      <c r="J115" s="128"/>
      <c r="K115" s="128"/>
      <c r="L115"/>
      <c r="M115"/>
      <c r="N115"/>
      <c r="O115"/>
      <c r="P115"/>
      <c r="Q115"/>
      <c r="R115"/>
      <c r="S115"/>
      <c r="T115"/>
      <c r="U115"/>
      <c r="V115"/>
    </row>
    <row r="116" spans="1:22" ht="12.75" customHeight="1" x14ac:dyDescent="0.3">
      <c r="A116" s="128"/>
      <c r="B116" s="128"/>
      <c r="C116" s="128"/>
      <c r="D116" s="128"/>
      <c r="E116" s="128"/>
      <c r="F116" s="128"/>
      <c r="G116" s="128"/>
      <c r="H116" s="128"/>
      <c r="I116" s="128"/>
      <c r="J116" s="128"/>
      <c r="K116" s="128"/>
      <c r="L116"/>
      <c r="M116"/>
      <c r="N116"/>
      <c r="O116"/>
      <c r="P116"/>
      <c r="Q116"/>
      <c r="R116"/>
      <c r="S116"/>
      <c r="T116"/>
      <c r="U116"/>
      <c r="V116"/>
    </row>
    <row r="117" spans="1:22" ht="12.75" customHeight="1" x14ac:dyDescent="0.3">
      <c r="A117" s="128"/>
      <c r="B117" s="128"/>
      <c r="C117" s="128"/>
      <c r="D117" s="128"/>
      <c r="E117" s="128"/>
      <c r="F117" s="128"/>
      <c r="G117" s="128"/>
      <c r="H117" s="128"/>
      <c r="I117" s="128"/>
      <c r="J117" s="128"/>
      <c r="K117" s="128"/>
      <c r="L117"/>
      <c r="M117"/>
      <c r="N117"/>
      <c r="O117"/>
      <c r="P117"/>
      <c r="Q117"/>
      <c r="R117"/>
      <c r="S117"/>
      <c r="T117"/>
      <c r="U117"/>
      <c r="V117"/>
    </row>
    <row r="118" spans="1:22" ht="12.75" customHeight="1" x14ac:dyDescent="0.3">
      <c r="A118" s="128"/>
      <c r="B118" s="128"/>
      <c r="C118" s="128"/>
      <c r="D118" s="128"/>
      <c r="E118" s="128"/>
      <c r="F118" s="128"/>
      <c r="G118" s="128"/>
      <c r="H118" s="128"/>
      <c r="I118" s="128"/>
      <c r="J118" s="128"/>
      <c r="K118" s="128"/>
      <c r="L118"/>
      <c r="M118"/>
      <c r="N118"/>
      <c r="O118"/>
      <c r="P118"/>
      <c r="Q118"/>
      <c r="R118"/>
      <c r="S118"/>
      <c r="T118"/>
      <c r="U118"/>
      <c r="V118"/>
    </row>
    <row r="119" spans="1:22" ht="12.75" customHeight="1" x14ac:dyDescent="0.3">
      <c r="A119" s="128"/>
      <c r="B119" s="128"/>
      <c r="C119" s="128"/>
      <c r="D119" s="128"/>
      <c r="E119" s="128"/>
      <c r="F119" s="128"/>
      <c r="G119" s="128"/>
      <c r="H119" s="128"/>
      <c r="I119" s="128"/>
      <c r="J119" s="128"/>
      <c r="K119" s="128"/>
      <c r="L119"/>
      <c r="M119"/>
      <c r="N119"/>
      <c r="O119"/>
      <c r="P119"/>
      <c r="Q119"/>
      <c r="R119"/>
      <c r="S119"/>
      <c r="T119"/>
      <c r="U119"/>
      <c r="V119"/>
    </row>
    <row r="120" spans="1:22" ht="12.75" customHeight="1" x14ac:dyDescent="0.3">
      <c r="A120" s="128"/>
      <c r="B120" s="128"/>
      <c r="C120" s="128"/>
      <c r="D120" s="128"/>
      <c r="E120" s="128"/>
      <c r="F120" s="128"/>
      <c r="G120" s="128"/>
      <c r="H120" s="128"/>
      <c r="I120" s="128"/>
      <c r="J120" s="128"/>
      <c r="K120" s="128"/>
      <c r="L120"/>
      <c r="M120"/>
      <c r="N120"/>
      <c r="O120"/>
      <c r="P120"/>
      <c r="Q120"/>
      <c r="R120"/>
      <c r="S120"/>
      <c r="T120"/>
      <c r="U120"/>
      <c r="V120"/>
    </row>
    <row r="121" spans="1:22" ht="12.75" customHeight="1" x14ac:dyDescent="0.3">
      <c r="A121" s="128"/>
      <c r="B121" s="128"/>
      <c r="C121" s="128"/>
      <c r="D121" s="128"/>
      <c r="E121" s="128"/>
      <c r="F121" s="128"/>
      <c r="G121" s="128"/>
      <c r="H121" s="128"/>
      <c r="I121" s="128"/>
      <c r="J121" s="128"/>
      <c r="K121" s="128"/>
      <c r="L121"/>
      <c r="M121"/>
      <c r="N121"/>
      <c r="O121"/>
      <c r="P121"/>
      <c r="Q121"/>
      <c r="R121"/>
      <c r="S121"/>
      <c r="T121"/>
      <c r="U121"/>
      <c r="V121"/>
    </row>
    <row r="122" spans="1:22" ht="12.75" customHeight="1" x14ac:dyDescent="0.3">
      <c r="A122" s="128"/>
      <c r="B122" s="128"/>
      <c r="C122" s="128"/>
      <c r="D122" s="128"/>
      <c r="E122" s="128"/>
      <c r="F122" s="128"/>
      <c r="G122" s="128"/>
      <c r="H122" s="128"/>
      <c r="I122" s="128"/>
      <c r="J122" s="128"/>
      <c r="K122" s="128"/>
      <c r="L122"/>
      <c r="M122"/>
      <c r="N122"/>
      <c r="O122"/>
      <c r="P122"/>
      <c r="Q122"/>
      <c r="R122"/>
      <c r="S122"/>
      <c r="T122"/>
      <c r="U122"/>
      <c r="V122"/>
    </row>
    <row r="123" spans="1:22" ht="12.75" customHeight="1" x14ac:dyDescent="0.3">
      <c r="A123" s="128"/>
      <c r="B123" s="128"/>
      <c r="C123" s="128"/>
      <c r="D123" s="128"/>
      <c r="E123" s="128"/>
      <c r="F123" s="128"/>
      <c r="G123" s="128"/>
      <c r="H123" s="128"/>
      <c r="I123" s="128"/>
      <c r="J123" s="128"/>
      <c r="K123" s="128"/>
      <c r="L123"/>
      <c r="M123"/>
      <c r="N123"/>
      <c r="O123"/>
      <c r="P123"/>
      <c r="Q123"/>
      <c r="R123"/>
      <c r="S123"/>
      <c r="T123"/>
      <c r="U123"/>
      <c r="V123"/>
    </row>
    <row r="124" spans="1:22" ht="12.75" customHeight="1" x14ac:dyDescent="0.3">
      <c r="A124" s="128"/>
      <c r="B124" s="128"/>
      <c r="C124" s="128"/>
      <c r="D124" s="128"/>
      <c r="E124" s="128"/>
      <c r="F124" s="128"/>
      <c r="G124" s="128"/>
      <c r="H124" s="128"/>
      <c r="I124" s="128"/>
      <c r="J124" s="128"/>
      <c r="K124" s="128"/>
      <c r="L124"/>
      <c r="M124"/>
      <c r="N124"/>
      <c r="O124"/>
      <c r="P124"/>
      <c r="Q124"/>
      <c r="R124"/>
      <c r="S124"/>
      <c r="T124"/>
      <c r="U124"/>
      <c r="V124"/>
    </row>
    <row r="125" spans="1:22" ht="12.75" customHeight="1" x14ac:dyDescent="0.3">
      <c r="A125" s="128"/>
      <c r="B125" s="128"/>
      <c r="C125" s="128"/>
      <c r="D125" s="128"/>
      <c r="E125" s="128"/>
      <c r="F125" s="128"/>
      <c r="G125" s="128"/>
      <c r="H125" s="128"/>
      <c r="I125" s="128"/>
      <c r="J125" s="128"/>
      <c r="K125" s="128"/>
      <c r="L125"/>
      <c r="M125"/>
      <c r="N125"/>
      <c r="O125"/>
      <c r="P125"/>
      <c r="Q125"/>
      <c r="R125"/>
      <c r="S125"/>
      <c r="T125"/>
      <c r="U125"/>
      <c r="V125"/>
    </row>
    <row r="126" spans="1:22" ht="12.75" customHeight="1" x14ac:dyDescent="0.3">
      <c r="A126" s="128"/>
      <c r="B126" s="128"/>
      <c r="C126" s="128"/>
      <c r="D126" s="128"/>
      <c r="E126" s="128"/>
      <c r="F126" s="128"/>
      <c r="G126" s="128"/>
      <c r="H126" s="128"/>
      <c r="I126" s="128"/>
      <c r="J126" s="128"/>
      <c r="K126" s="128"/>
      <c r="L126"/>
      <c r="M126"/>
      <c r="N126"/>
      <c r="O126"/>
      <c r="P126"/>
      <c r="Q126"/>
      <c r="R126"/>
      <c r="S126"/>
      <c r="T126"/>
      <c r="U126"/>
      <c r="V126"/>
    </row>
    <row r="127" spans="1:22" ht="12.75" customHeight="1" x14ac:dyDescent="0.3">
      <c r="A127" s="128"/>
      <c r="B127" s="128"/>
      <c r="C127" s="128"/>
      <c r="D127" s="128"/>
      <c r="E127" s="128"/>
      <c r="F127" s="128"/>
      <c r="G127" s="128"/>
      <c r="H127" s="128"/>
      <c r="I127" s="128"/>
      <c r="J127" s="128"/>
      <c r="K127" s="128"/>
      <c r="L127"/>
      <c r="M127"/>
      <c r="N127"/>
      <c r="O127"/>
      <c r="P127"/>
      <c r="Q127"/>
      <c r="R127"/>
      <c r="S127"/>
      <c r="T127"/>
      <c r="U127"/>
      <c r="V127"/>
    </row>
    <row r="128" spans="1:22" ht="12.75" customHeight="1" x14ac:dyDescent="0.3">
      <c r="A128" s="128"/>
      <c r="B128" s="128"/>
      <c r="C128" s="128"/>
      <c r="D128" s="128"/>
      <c r="E128" s="128"/>
      <c r="F128" s="128"/>
      <c r="G128" s="128"/>
      <c r="H128" s="128"/>
      <c r="I128" s="128"/>
      <c r="J128" s="128"/>
      <c r="K128" s="128"/>
      <c r="L128"/>
      <c r="M128"/>
      <c r="N128"/>
      <c r="O128"/>
      <c r="P128"/>
      <c r="Q128"/>
      <c r="R128"/>
      <c r="S128"/>
      <c r="T128"/>
      <c r="U128"/>
      <c r="V128"/>
    </row>
    <row r="129" spans="1:22" ht="12.75" customHeight="1" x14ac:dyDescent="0.3">
      <c r="A129" s="128"/>
      <c r="B129" s="128"/>
      <c r="C129" s="128"/>
      <c r="D129" s="128"/>
      <c r="E129" s="128"/>
      <c r="F129" s="128"/>
      <c r="G129" s="128"/>
      <c r="H129" s="128"/>
      <c r="I129" s="128"/>
      <c r="J129" s="128"/>
      <c r="K129" s="128"/>
      <c r="L129"/>
      <c r="M129"/>
      <c r="N129"/>
      <c r="O129"/>
      <c r="P129"/>
      <c r="Q129"/>
      <c r="R129"/>
      <c r="S129"/>
      <c r="T129"/>
      <c r="U129"/>
      <c r="V129"/>
    </row>
    <row r="130" spans="1:22" ht="12.75" customHeight="1" x14ac:dyDescent="0.3">
      <c r="A130" s="128"/>
      <c r="B130" s="128"/>
      <c r="C130" s="128"/>
      <c r="D130" s="128"/>
      <c r="E130" s="128"/>
      <c r="F130" s="128"/>
      <c r="G130" s="128"/>
      <c r="H130" s="128"/>
      <c r="I130" s="128"/>
      <c r="J130" s="128"/>
      <c r="K130" s="128"/>
      <c r="L130"/>
      <c r="M130"/>
      <c r="N130"/>
      <c r="O130"/>
      <c r="P130"/>
      <c r="Q130"/>
      <c r="R130"/>
      <c r="S130"/>
      <c r="T130"/>
      <c r="U130"/>
      <c r="V130"/>
    </row>
    <row r="131" spans="1:22" ht="12.75" customHeight="1" x14ac:dyDescent="0.3">
      <c r="A131" s="128"/>
      <c r="B131" s="128"/>
      <c r="C131" s="128"/>
      <c r="D131" s="128"/>
      <c r="E131" s="128"/>
      <c r="F131" s="128"/>
      <c r="G131" s="128"/>
      <c r="H131" s="128"/>
      <c r="I131" s="128"/>
      <c r="J131" s="128"/>
      <c r="K131" s="128"/>
      <c r="L131"/>
      <c r="M131"/>
      <c r="N131"/>
      <c r="O131"/>
      <c r="P131"/>
      <c r="Q131"/>
      <c r="R131"/>
      <c r="S131"/>
      <c r="T131"/>
      <c r="U131"/>
      <c r="V131"/>
    </row>
    <row r="132" spans="1:22" ht="12.75" customHeight="1" x14ac:dyDescent="0.3">
      <c r="A132" s="128"/>
      <c r="B132" s="128"/>
      <c r="C132" s="128"/>
      <c r="D132" s="128"/>
      <c r="E132" s="128"/>
      <c r="F132" s="128"/>
      <c r="G132" s="128"/>
      <c r="H132" s="128"/>
      <c r="I132" s="128"/>
      <c r="J132" s="128"/>
      <c r="K132" s="128"/>
      <c r="L132"/>
      <c r="M132"/>
      <c r="N132"/>
      <c r="O132"/>
      <c r="P132"/>
      <c r="Q132"/>
      <c r="R132"/>
      <c r="S132"/>
      <c r="T132"/>
      <c r="U132"/>
      <c r="V132"/>
    </row>
    <row r="133" spans="1:22" ht="12.75" customHeight="1" x14ac:dyDescent="0.3">
      <c r="A133" s="128"/>
      <c r="B133" s="128"/>
      <c r="C133" s="128"/>
      <c r="D133" s="128"/>
      <c r="E133" s="128"/>
      <c r="F133" s="128"/>
      <c r="G133" s="128"/>
      <c r="H133" s="128"/>
      <c r="I133" s="128"/>
      <c r="J133" s="128"/>
      <c r="K133" s="128"/>
      <c r="L133"/>
      <c r="M133"/>
      <c r="N133"/>
      <c r="O133"/>
      <c r="P133"/>
      <c r="Q133"/>
      <c r="R133"/>
      <c r="S133"/>
      <c r="T133"/>
      <c r="U133"/>
      <c r="V133"/>
    </row>
    <row r="134" spans="1:22" ht="12.75" customHeight="1" x14ac:dyDescent="0.3">
      <c r="A134" s="128"/>
      <c r="B134" s="128"/>
      <c r="C134" s="128"/>
      <c r="D134" s="128"/>
      <c r="E134" s="128"/>
      <c r="F134" s="128"/>
      <c r="G134" s="128"/>
      <c r="H134" s="128"/>
      <c r="I134" s="128"/>
      <c r="J134" s="128"/>
      <c r="K134" s="128"/>
      <c r="L134"/>
      <c r="M134"/>
      <c r="N134"/>
      <c r="O134"/>
      <c r="P134"/>
      <c r="Q134"/>
      <c r="R134"/>
      <c r="S134"/>
      <c r="T134"/>
      <c r="U134"/>
      <c r="V134"/>
    </row>
    <row r="135" spans="1:22" ht="12.75" customHeight="1" x14ac:dyDescent="0.3">
      <c r="A135" s="128"/>
      <c r="B135" s="128"/>
      <c r="C135" s="128"/>
      <c r="D135" s="128"/>
      <c r="E135" s="128"/>
      <c r="F135" s="128"/>
      <c r="G135" s="128"/>
      <c r="H135" s="128"/>
      <c r="I135" s="128"/>
      <c r="J135" s="128"/>
      <c r="K135" s="128"/>
      <c r="L135"/>
      <c r="M135"/>
      <c r="N135"/>
      <c r="O135"/>
      <c r="P135"/>
      <c r="Q135"/>
      <c r="R135"/>
      <c r="S135"/>
      <c r="T135"/>
      <c r="U135"/>
      <c r="V135"/>
    </row>
    <row r="136" spans="1:22" ht="14.4" x14ac:dyDescent="0.3">
      <c r="A136" s="303" t="s">
        <v>297</v>
      </c>
      <c r="B136" s="303"/>
      <c r="C136" s="303"/>
      <c r="D136" s="303"/>
      <c r="E136" s="303"/>
      <c r="F136" s="233"/>
      <c r="G136" s="303" t="s">
        <v>293</v>
      </c>
      <c r="H136" s="303"/>
      <c r="I136" s="303"/>
      <c r="J136" s="303"/>
      <c r="K136" s="303"/>
      <c r="L136"/>
      <c r="M136"/>
      <c r="N136"/>
      <c r="O136"/>
      <c r="P136"/>
      <c r="Q136"/>
      <c r="R136"/>
      <c r="S136"/>
      <c r="T136"/>
      <c r="U136"/>
      <c r="V136"/>
    </row>
    <row r="137" spans="1:22" ht="12.75" customHeight="1" x14ac:dyDescent="0.3">
      <c r="A137" s="128"/>
      <c r="B137" s="128"/>
      <c r="C137" s="128"/>
      <c r="D137" s="128"/>
      <c r="E137" s="128"/>
      <c r="F137" s="128"/>
      <c r="G137" s="128"/>
      <c r="H137" s="128"/>
      <c r="I137" s="128"/>
      <c r="J137" s="128"/>
      <c r="K137" s="128"/>
      <c r="L137"/>
      <c r="M137"/>
      <c r="N137"/>
      <c r="O137"/>
      <c r="P137"/>
      <c r="Q137"/>
      <c r="R137"/>
      <c r="S137"/>
      <c r="T137"/>
      <c r="U137"/>
      <c r="V137"/>
    </row>
    <row r="138" spans="1:22" ht="12.75" customHeight="1" x14ac:dyDescent="0.3">
      <c r="A138" s="128"/>
      <c r="B138" s="128"/>
      <c r="C138" s="128"/>
      <c r="D138" s="128"/>
      <c r="E138" s="128"/>
      <c r="F138" s="128"/>
      <c r="G138" s="128"/>
      <c r="H138" s="128"/>
      <c r="I138" s="128"/>
      <c r="J138" s="128"/>
      <c r="K138" s="128"/>
      <c r="L138"/>
      <c r="M138"/>
      <c r="N138"/>
      <c r="O138"/>
      <c r="P138"/>
      <c r="Q138"/>
      <c r="R138"/>
      <c r="S138"/>
      <c r="T138"/>
      <c r="U138"/>
      <c r="V138"/>
    </row>
    <row r="139" spans="1:22" ht="12.75" customHeight="1" x14ac:dyDescent="0.3">
      <c r="A139" s="128"/>
      <c r="B139" s="128"/>
      <c r="C139" s="128"/>
      <c r="D139" s="128"/>
      <c r="E139" s="128"/>
      <c r="F139" s="128"/>
      <c r="G139" s="128"/>
      <c r="H139" s="128"/>
      <c r="I139" s="128"/>
      <c r="J139" s="128"/>
      <c r="K139" s="128"/>
      <c r="L139"/>
      <c r="M139"/>
      <c r="N139"/>
      <c r="O139"/>
      <c r="P139"/>
      <c r="Q139"/>
      <c r="R139"/>
      <c r="S139"/>
      <c r="T139"/>
      <c r="U139"/>
      <c r="V139"/>
    </row>
    <row r="140" spans="1:22" ht="12.75" customHeight="1" x14ac:dyDescent="0.3">
      <c r="A140" s="128"/>
      <c r="B140" s="128"/>
      <c r="C140" s="128"/>
      <c r="D140" s="128"/>
      <c r="E140" s="128"/>
      <c r="F140" s="128"/>
      <c r="G140" s="128"/>
      <c r="H140" s="128"/>
      <c r="I140" s="128"/>
      <c r="J140" s="128"/>
      <c r="K140" s="128"/>
      <c r="L140"/>
      <c r="M140"/>
      <c r="N140"/>
      <c r="O140"/>
      <c r="P140"/>
      <c r="Q140"/>
      <c r="R140"/>
      <c r="S140"/>
      <c r="T140"/>
      <c r="U140"/>
      <c r="V140"/>
    </row>
    <row r="141" spans="1:22" ht="12.75" customHeight="1" x14ac:dyDescent="0.3">
      <c r="A141" s="128"/>
      <c r="B141" s="128"/>
      <c r="C141" s="128"/>
      <c r="D141" s="128"/>
      <c r="E141" s="128"/>
      <c r="F141" s="128"/>
      <c r="G141" s="128"/>
      <c r="H141" s="128"/>
      <c r="I141" s="128"/>
      <c r="J141" s="128"/>
      <c r="K141" s="128"/>
      <c r="L141"/>
      <c r="M141"/>
      <c r="N141"/>
      <c r="O141"/>
      <c r="P141"/>
      <c r="Q141"/>
      <c r="R141"/>
      <c r="S141"/>
      <c r="T141"/>
      <c r="U141"/>
      <c r="V141"/>
    </row>
    <row r="142" spans="1:22" ht="12.75" customHeight="1" x14ac:dyDescent="0.3">
      <c r="A142" s="128"/>
      <c r="B142" s="128"/>
      <c r="C142" s="128"/>
      <c r="D142" s="128"/>
      <c r="E142" s="128"/>
      <c r="F142" s="128"/>
      <c r="G142" s="128"/>
      <c r="H142" s="128"/>
      <c r="I142" s="128"/>
      <c r="J142" s="128"/>
      <c r="K142" s="128"/>
      <c r="L142"/>
      <c r="M142"/>
      <c r="N142"/>
      <c r="O142"/>
      <c r="P142"/>
      <c r="Q142"/>
      <c r="R142"/>
      <c r="S142"/>
      <c r="T142"/>
      <c r="U142"/>
      <c r="V142"/>
    </row>
    <row r="143" spans="1:22" ht="12.75" customHeight="1" x14ac:dyDescent="0.3">
      <c r="A143" s="128"/>
      <c r="B143" s="128"/>
      <c r="C143" s="128"/>
      <c r="D143" s="128"/>
      <c r="E143" s="128"/>
      <c r="F143" s="128"/>
      <c r="G143" s="128"/>
      <c r="H143" s="128"/>
      <c r="I143" s="128"/>
      <c r="J143" s="128"/>
      <c r="K143" s="128"/>
      <c r="L143"/>
      <c r="M143"/>
      <c r="N143"/>
      <c r="O143"/>
      <c r="P143"/>
      <c r="Q143"/>
      <c r="R143"/>
      <c r="S143"/>
      <c r="T143"/>
      <c r="U143"/>
      <c r="V143"/>
    </row>
    <row r="144" spans="1:22" ht="12.75" customHeight="1" x14ac:dyDescent="0.3">
      <c r="A144" s="128"/>
      <c r="B144" s="128"/>
      <c r="C144" s="128"/>
      <c r="D144" s="128"/>
      <c r="E144" s="128"/>
      <c r="F144" s="128"/>
      <c r="G144" s="128"/>
      <c r="H144" s="128"/>
      <c r="I144" s="128"/>
      <c r="J144" s="128"/>
      <c r="K144" s="128"/>
      <c r="L144"/>
      <c r="M144"/>
      <c r="N144"/>
      <c r="O144"/>
      <c r="P144"/>
      <c r="Q144"/>
      <c r="R144"/>
      <c r="S144"/>
      <c r="T144"/>
      <c r="U144"/>
      <c r="V144"/>
    </row>
    <row r="145" spans="1:22" ht="12.75" customHeight="1" x14ac:dyDescent="0.3">
      <c r="A145" s="128"/>
      <c r="B145" s="128"/>
      <c r="C145" s="128"/>
      <c r="D145" s="128"/>
      <c r="E145" s="128"/>
      <c r="F145" s="128"/>
      <c r="G145" s="128"/>
      <c r="H145" s="128"/>
      <c r="I145" s="128"/>
      <c r="J145" s="128"/>
      <c r="K145" s="128"/>
      <c r="L145"/>
      <c r="M145"/>
      <c r="N145"/>
      <c r="O145"/>
      <c r="P145"/>
      <c r="Q145"/>
      <c r="R145"/>
      <c r="S145"/>
      <c r="T145"/>
      <c r="U145"/>
      <c r="V145"/>
    </row>
    <row r="146" spans="1:22" ht="12.75" customHeight="1" x14ac:dyDescent="0.3">
      <c r="A146" s="128"/>
      <c r="B146" s="128"/>
      <c r="C146" s="128"/>
      <c r="D146" s="128"/>
      <c r="E146" s="128"/>
      <c r="F146" s="128"/>
      <c r="G146" s="128"/>
      <c r="H146" s="128"/>
      <c r="I146" s="128"/>
      <c r="J146" s="128"/>
      <c r="K146" s="128"/>
      <c r="L146"/>
      <c r="M146"/>
      <c r="N146"/>
      <c r="O146"/>
      <c r="P146"/>
      <c r="Q146"/>
      <c r="R146"/>
      <c r="S146"/>
      <c r="T146"/>
      <c r="U146"/>
      <c r="V146"/>
    </row>
    <row r="147" spans="1:22" ht="12.75" customHeight="1" x14ac:dyDescent="0.3">
      <c r="A147" s="128"/>
      <c r="B147" s="128"/>
      <c r="C147" s="128"/>
      <c r="D147" s="128"/>
      <c r="E147" s="128"/>
      <c r="F147" s="128"/>
      <c r="G147" s="128"/>
      <c r="H147" s="128"/>
      <c r="I147" s="128"/>
      <c r="J147" s="128"/>
      <c r="K147" s="128"/>
      <c r="L147"/>
      <c r="M147"/>
      <c r="N147"/>
      <c r="O147"/>
      <c r="P147"/>
      <c r="Q147"/>
      <c r="R147"/>
      <c r="S147"/>
      <c r="T147"/>
      <c r="U147"/>
      <c r="V147"/>
    </row>
    <row r="148" spans="1:22" ht="12.75" customHeight="1" x14ac:dyDescent="0.3">
      <c r="A148" s="128"/>
      <c r="B148" s="128"/>
      <c r="C148" s="128"/>
      <c r="D148" s="128"/>
      <c r="E148" s="128"/>
      <c r="F148" s="128"/>
      <c r="G148" s="128"/>
      <c r="H148" s="128"/>
      <c r="I148" s="128"/>
      <c r="J148" s="128"/>
      <c r="K148" s="128"/>
      <c r="L148"/>
      <c r="M148"/>
      <c r="N148"/>
      <c r="O148"/>
      <c r="P148"/>
      <c r="Q148"/>
      <c r="R148"/>
      <c r="S148"/>
      <c r="T148"/>
      <c r="U148"/>
      <c r="V148"/>
    </row>
    <row r="149" spans="1:22" ht="12.75" customHeight="1" x14ac:dyDescent="0.3">
      <c r="A149" s="128"/>
      <c r="B149" s="128"/>
      <c r="C149" s="128"/>
      <c r="D149" s="128"/>
      <c r="E149" s="128"/>
      <c r="F149" s="128"/>
      <c r="G149" s="128"/>
      <c r="H149" s="128"/>
      <c r="I149" s="128"/>
      <c r="J149" s="128"/>
      <c r="K149" s="128"/>
      <c r="L149"/>
      <c r="M149"/>
      <c r="N149"/>
      <c r="O149"/>
      <c r="P149"/>
      <c r="Q149"/>
      <c r="R149"/>
      <c r="S149"/>
      <c r="T149"/>
      <c r="U149"/>
      <c r="V149"/>
    </row>
    <row r="150" spans="1:22" ht="12.75" customHeight="1" x14ac:dyDescent="0.3">
      <c r="A150" s="128"/>
      <c r="B150" s="128"/>
      <c r="C150" s="128"/>
      <c r="D150" s="128"/>
      <c r="E150" s="128"/>
      <c r="F150" s="128"/>
      <c r="G150" s="128"/>
      <c r="H150" s="128"/>
      <c r="I150" s="128"/>
      <c r="J150" s="128"/>
      <c r="K150" s="128"/>
      <c r="L150"/>
      <c r="M150"/>
      <c r="N150"/>
      <c r="O150"/>
      <c r="P150"/>
      <c r="Q150"/>
      <c r="R150"/>
      <c r="S150"/>
      <c r="T150"/>
      <c r="U150"/>
      <c r="V150"/>
    </row>
    <row r="151" spans="1:22" ht="12.75" customHeight="1" x14ac:dyDescent="0.3">
      <c r="A151" s="128"/>
      <c r="B151" s="128"/>
      <c r="C151" s="128"/>
      <c r="D151" s="128"/>
      <c r="E151" s="128"/>
      <c r="F151" s="128"/>
      <c r="G151" s="128"/>
      <c r="H151" s="128"/>
      <c r="I151" s="128"/>
      <c r="J151" s="128"/>
      <c r="K151" s="128"/>
      <c r="L151"/>
      <c r="M151"/>
      <c r="N151"/>
      <c r="O151"/>
      <c r="P151"/>
      <c r="Q151"/>
      <c r="R151"/>
      <c r="S151"/>
      <c r="T151"/>
      <c r="U151"/>
      <c r="V151"/>
    </row>
    <row r="152" spans="1:22" ht="12.75" customHeight="1" x14ac:dyDescent="0.3">
      <c r="A152" s="128"/>
      <c r="B152" s="128"/>
      <c r="C152" s="128"/>
      <c r="D152" s="128"/>
      <c r="E152" s="128"/>
      <c r="F152" s="128"/>
      <c r="G152" s="128"/>
      <c r="H152" s="128"/>
      <c r="I152" s="128"/>
      <c r="J152" s="128"/>
      <c r="K152" s="128"/>
      <c r="L152"/>
      <c r="M152"/>
      <c r="N152"/>
      <c r="O152"/>
      <c r="P152"/>
      <c r="Q152"/>
      <c r="R152"/>
      <c r="S152"/>
      <c r="T152"/>
      <c r="U152"/>
      <c r="V152"/>
    </row>
    <row r="153" spans="1:22" ht="12.75" customHeight="1" x14ac:dyDescent="0.3">
      <c r="A153" s="128"/>
      <c r="B153" s="128"/>
      <c r="C153" s="128"/>
      <c r="D153" s="128"/>
      <c r="E153" s="128"/>
      <c r="F153" s="128"/>
      <c r="G153" s="128"/>
      <c r="H153" s="128"/>
      <c r="I153" s="128"/>
      <c r="J153" s="128"/>
      <c r="K153" s="128"/>
      <c r="L153"/>
      <c r="M153"/>
      <c r="N153"/>
      <c r="O153"/>
      <c r="P153"/>
      <c r="Q153"/>
      <c r="R153"/>
      <c r="S153"/>
      <c r="T153"/>
      <c r="U153"/>
      <c r="V153"/>
    </row>
    <row r="154" spans="1:22" ht="14.4" x14ac:dyDescent="0.3">
      <c r="A154" s="303" t="s">
        <v>296</v>
      </c>
      <c r="B154" s="303"/>
      <c r="C154" s="303"/>
      <c r="D154" s="303"/>
      <c r="E154" s="303"/>
      <c r="F154" s="233"/>
      <c r="G154" s="303" t="s">
        <v>293</v>
      </c>
      <c r="H154" s="303"/>
      <c r="I154" s="303"/>
      <c r="J154" s="303"/>
      <c r="K154" s="303"/>
      <c r="L154"/>
      <c r="M154"/>
      <c r="N154"/>
      <c r="O154"/>
      <c r="P154"/>
      <c r="Q154"/>
      <c r="R154"/>
      <c r="S154"/>
      <c r="T154"/>
      <c r="U154"/>
      <c r="V154"/>
    </row>
    <row r="155" spans="1:22" ht="12.75" customHeight="1" x14ac:dyDescent="0.3">
      <c r="A155" s="128"/>
      <c r="B155" s="128"/>
      <c r="C155" s="128"/>
      <c r="D155" s="128"/>
      <c r="E155" s="128"/>
      <c r="F155" s="128"/>
      <c r="G155" s="128"/>
      <c r="H155" s="128"/>
      <c r="I155" s="128"/>
      <c r="J155" s="128"/>
      <c r="K155" s="128"/>
      <c r="L155"/>
      <c r="M155"/>
      <c r="N155"/>
      <c r="O155"/>
      <c r="P155"/>
      <c r="Q155"/>
      <c r="R155"/>
      <c r="S155"/>
      <c r="T155"/>
      <c r="U155"/>
      <c r="V155"/>
    </row>
    <row r="156" spans="1:22" ht="12.75" customHeight="1" x14ac:dyDescent="0.3">
      <c r="A156" s="128"/>
      <c r="B156" s="128"/>
      <c r="C156" s="128"/>
      <c r="D156" s="128"/>
      <c r="E156" s="128"/>
      <c r="F156" s="128"/>
      <c r="G156" s="128"/>
      <c r="H156" s="128"/>
      <c r="I156" s="128"/>
      <c r="J156" s="128"/>
      <c r="K156" s="128"/>
      <c r="L156"/>
      <c r="M156"/>
      <c r="N156"/>
      <c r="O156"/>
      <c r="P156"/>
      <c r="Q156"/>
      <c r="R156"/>
      <c r="S156"/>
      <c r="T156"/>
      <c r="U156"/>
      <c r="V156"/>
    </row>
    <row r="157" spans="1:22" ht="12.75" customHeight="1" x14ac:dyDescent="0.3">
      <c r="A157" s="128"/>
      <c r="B157" s="128"/>
      <c r="C157" s="128"/>
      <c r="D157" s="128"/>
      <c r="E157" s="128"/>
      <c r="F157" s="128"/>
      <c r="G157" s="128"/>
      <c r="H157" s="128"/>
      <c r="I157" s="128"/>
      <c r="J157" s="128"/>
      <c r="K157" s="128"/>
      <c r="L157"/>
      <c r="M157"/>
      <c r="N157"/>
      <c r="O157"/>
      <c r="P157"/>
      <c r="Q157"/>
      <c r="R157"/>
      <c r="S157"/>
      <c r="T157"/>
      <c r="U157"/>
      <c r="V157"/>
    </row>
    <row r="158" spans="1:22" ht="12.75" customHeight="1" x14ac:dyDescent="0.3">
      <c r="A158" s="128"/>
      <c r="B158" s="128"/>
      <c r="C158" s="128"/>
      <c r="D158" s="128"/>
      <c r="E158" s="128"/>
      <c r="F158" s="128"/>
      <c r="G158" s="128"/>
      <c r="H158" s="128"/>
      <c r="I158" s="128"/>
      <c r="J158" s="128"/>
      <c r="K158" s="128"/>
      <c r="L158"/>
      <c r="M158"/>
      <c r="N158"/>
      <c r="O158"/>
      <c r="P158"/>
      <c r="Q158"/>
      <c r="R158"/>
      <c r="S158"/>
      <c r="T158"/>
      <c r="U158"/>
      <c r="V158"/>
    </row>
    <row r="159" spans="1:22" ht="12.75" customHeight="1" x14ac:dyDescent="0.3">
      <c r="A159" s="128"/>
      <c r="B159" s="128"/>
      <c r="C159" s="128"/>
      <c r="D159" s="128"/>
      <c r="E159" s="128"/>
      <c r="F159" s="128"/>
      <c r="G159" s="128"/>
      <c r="H159" s="128"/>
      <c r="I159" s="128"/>
      <c r="J159" s="128"/>
      <c r="K159" s="128"/>
      <c r="L159"/>
      <c r="M159"/>
      <c r="N159"/>
      <c r="O159"/>
      <c r="P159"/>
      <c r="Q159"/>
      <c r="R159"/>
      <c r="S159"/>
      <c r="T159"/>
      <c r="U159"/>
      <c r="V159"/>
    </row>
    <row r="160" spans="1:22" ht="12.75" customHeight="1" x14ac:dyDescent="0.3">
      <c r="A160" s="128"/>
      <c r="B160" s="128"/>
      <c r="C160" s="128"/>
      <c r="D160" s="128"/>
      <c r="E160" s="128"/>
      <c r="F160" s="128"/>
      <c r="G160" s="128"/>
      <c r="H160" s="128"/>
      <c r="I160" s="128"/>
      <c r="J160" s="128"/>
      <c r="K160" s="128"/>
      <c r="L160"/>
      <c r="M160"/>
      <c r="N160"/>
      <c r="O160"/>
      <c r="P160"/>
      <c r="Q160"/>
      <c r="R160"/>
      <c r="S160"/>
      <c r="T160"/>
      <c r="U160"/>
      <c r="V160"/>
    </row>
    <row r="161" spans="1:22" ht="12.75" customHeight="1" x14ac:dyDescent="0.3">
      <c r="A161" s="128"/>
      <c r="B161" s="128"/>
      <c r="C161" s="128"/>
      <c r="D161" s="128"/>
      <c r="E161" s="128"/>
      <c r="F161" s="128"/>
      <c r="G161" s="128"/>
      <c r="H161" s="128"/>
      <c r="I161" s="128"/>
      <c r="J161" s="128"/>
      <c r="K161" s="128"/>
      <c r="L161"/>
      <c r="M161"/>
      <c r="N161"/>
      <c r="O161"/>
      <c r="P161"/>
      <c r="Q161"/>
      <c r="R161"/>
      <c r="S161"/>
      <c r="T161"/>
      <c r="U161"/>
      <c r="V161"/>
    </row>
    <row r="162" spans="1:22" ht="12.75" customHeight="1" x14ac:dyDescent="0.3">
      <c r="A162" s="128"/>
      <c r="B162" s="128"/>
      <c r="C162" s="128"/>
      <c r="D162" s="128"/>
      <c r="E162" s="128"/>
      <c r="F162" s="128"/>
      <c r="G162" s="128"/>
      <c r="H162" s="128"/>
      <c r="I162" s="128"/>
      <c r="J162" s="128"/>
      <c r="K162" s="128"/>
      <c r="L162"/>
      <c r="M162"/>
      <c r="N162"/>
      <c r="O162"/>
      <c r="P162"/>
      <c r="Q162"/>
      <c r="R162"/>
      <c r="S162"/>
      <c r="T162"/>
      <c r="U162"/>
      <c r="V162"/>
    </row>
    <row r="163" spans="1:22" ht="12.75" customHeight="1" x14ac:dyDescent="0.3">
      <c r="A163" s="128"/>
      <c r="B163" s="128"/>
      <c r="C163" s="128"/>
      <c r="D163" s="128"/>
      <c r="E163" s="128"/>
      <c r="F163" s="128"/>
      <c r="G163" s="128"/>
      <c r="H163" s="128"/>
      <c r="I163" s="128"/>
      <c r="J163" s="128"/>
      <c r="K163" s="128"/>
      <c r="L163"/>
      <c r="M163"/>
      <c r="N163"/>
      <c r="O163"/>
      <c r="P163"/>
      <c r="Q163"/>
      <c r="R163"/>
      <c r="S163"/>
      <c r="T163"/>
      <c r="U163"/>
      <c r="V163"/>
    </row>
    <row r="164" spans="1:22" ht="12.75" customHeight="1" x14ac:dyDescent="0.3">
      <c r="A164" s="128"/>
      <c r="B164" s="128"/>
      <c r="C164" s="128"/>
      <c r="D164" s="128"/>
      <c r="E164" s="128"/>
      <c r="F164" s="128"/>
      <c r="G164" s="128"/>
      <c r="H164" s="128"/>
      <c r="I164" s="128"/>
      <c r="J164" s="128"/>
      <c r="K164" s="128"/>
      <c r="L164"/>
      <c r="M164"/>
      <c r="N164"/>
      <c r="O164"/>
      <c r="P164"/>
      <c r="Q164"/>
      <c r="R164"/>
      <c r="S164"/>
      <c r="T164"/>
      <c r="U164"/>
      <c r="V164"/>
    </row>
    <row r="165" spans="1:22" ht="12.75" customHeight="1" x14ac:dyDescent="0.3">
      <c r="A165" s="128"/>
      <c r="B165" s="128"/>
      <c r="C165" s="128"/>
      <c r="D165" s="128"/>
      <c r="E165" s="128"/>
      <c r="F165" s="128"/>
      <c r="G165" s="128"/>
      <c r="H165" s="128"/>
      <c r="I165" s="128"/>
      <c r="J165" s="128"/>
      <c r="K165" s="128"/>
      <c r="L165"/>
      <c r="M165"/>
      <c r="N165"/>
      <c r="O165"/>
      <c r="P165"/>
      <c r="Q165"/>
      <c r="R165"/>
      <c r="S165"/>
      <c r="T165"/>
      <c r="U165"/>
      <c r="V165"/>
    </row>
    <row r="166" spans="1:22" ht="12.75" customHeight="1" x14ac:dyDescent="0.3">
      <c r="A166" s="128"/>
      <c r="B166" s="128"/>
      <c r="C166" s="128"/>
      <c r="D166" s="128"/>
      <c r="E166" s="128"/>
      <c r="F166" s="128"/>
      <c r="G166" s="128"/>
      <c r="H166" s="128"/>
      <c r="I166" s="128"/>
      <c r="J166" s="128"/>
      <c r="K166" s="128"/>
      <c r="L166"/>
      <c r="M166"/>
      <c r="N166"/>
      <c r="O166"/>
      <c r="P166"/>
      <c r="Q166"/>
      <c r="R166"/>
      <c r="S166"/>
      <c r="T166"/>
      <c r="U166"/>
      <c r="V166"/>
    </row>
    <row r="167" spans="1:22" ht="12.75" customHeight="1" x14ac:dyDescent="0.3">
      <c r="A167" s="128"/>
      <c r="B167" s="128"/>
      <c r="C167" s="128"/>
      <c r="D167" s="128"/>
      <c r="E167" s="128"/>
      <c r="F167" s="128"/>
      <c r="G167" s="128"/>
      <c r="H167" s="128"/>
      <c r="I167" s="128"/>
      <c r="J167" s="128"/>
      <c r="K167" s="128"/>
      <c r="L167"/>
      <c r="M167"/>
      <c r="N167"/>
      <c r="O167"/>
      <c r="P167"/>
      <c r="Q167"/>
      <c r="R167"/>
      <c r="S167"/>
      <c r="T167"/>
      <c r="U167"/>
      <c r="V167"/>
    </row>
    <row r="168" spans="1:22" ht="12.75" customHeight="1" x14ac:dyDescent="0.3">
      <c r="A168" s="128"/>
      <c r="B168" s="128"/>
      <c r="C168" s="128"/>
      <c r="D168" s="128"/>
      <c r="E168" s="128"/>
      <c r="F168" s="128"/>
      <c r="G168" s="128"/>
      <c r="H168" s="128"/>
      <c r="I168" s="128"/>
      <c r="J168" s="128"/>
      <c r="K168" s="128"/>
      <c r="L168"/>
      <c r="M168"/>
      <c r="N168"/>
      <c r="O168"/>
      <c r="P168"/>
      <c r="Q168"/>
      <c r="R168"/>
      <c r="S168"/>
      <c r="T168"/>
      <c r="U168"/>
      <c r="V168"/>
    </row>
    <row r="169" spans="1:22" ht="12.75" customHeight="1" x14ac:dyDescent="0.3">
      <c r="A169" s="128"/>
      <c r="B169" s="128"/>
      <c r="C169" s="128"/>
      <c r="D169" s="128"/>
      <c r="E169" s="128"/>
      <c r="F169" s="128"/>
      <c r="G169" s="128"/>
      <c r="H169" s="128"/>
      <c r="I169" s="128"/>
      <c r="J169" s="128"/>
      <c r="K169" s="128"/>
      <c r="L169"/>
      <c r="M169"/>
      <c r="N169"/>
      <c r="O169"/>
      <c r="P169"/>
      <c r="Q169"/>
      <c r="R169"/>
      <c r="S169"/>
      <c r="T169"/>
      <c r="U169"/>
      <c r="V169"/>
    </row>
    <row r="170" spans="1:22" ht="12.75" customHeight="1" x14ac:dyDescent="0.3">
      <c r="A170" s="128"/>
      <c r="B170" s="128"/>
      <c r="C170" s="128"/>
      <c r="D170" s="128"/>
      <c r="E170" s="128"/>
      <c r="F170" s="128"/>
      <c r="G170" s="128"/>
      <c r="H170" s="128"/>
      <c r="I170" s="128"/>
      <c r="J170" s="128"/>
      <c r="K170" s="128"/>
      <c r="L170"/>
      <c r="M170"/>
      <c r="N170"/>
      <c r="O170"/>
      <c r="P170"/>
      <c r="Q170"/>
      <c r="R170"/>
      <c r="S170"/>
      <c r="T170"/>
      <c r="U170"/>
      <c r="V170"/>
    </row>
    <row r="171" spans="1:22" ht="12.75" customHeight="1" x14ac:dyDescent="0.3">
      <c r="A171" s="128"/>
      <c r="B171" s="128"/>
      <c r="C171" s="128"/>
      <c r="D171" s="128"/>
      <c r="E171" s="128"/>
      <c r="F171" s="128"/>
      <c r="G171" s="128"/>
      <c r="H171" s="128"/>
      <c r="I171" s="128"/>
      <c r="J171" s="128"/>
      <c r="K171" s="128"/>
      <c r="L171"/>
      <c r="M171"/>
      <c r="N171"/>
      <c r="O171"/>
      <c r="P171"/>
      <c r="Q171"/>
      <c r="R171"/>
      <c r="S171"/>
      <c r="T171"/>
      <c r="U171"/>
      <c r="V171"/>
    </row>
    <row r="172" spans="1:22" ht="14.4" x14ac:dyDescent="0.3">
      <c r="A172" s="303" t="s">
        <v>286</v>
      </c>
      <c r="B172" s="303"/>
      <c r="C172" s="303"/>
      <c r="D172" s="303"/>
      <c r="E172" s="303"/>
      <c r="F172" s="233"/>
      <c r="G172" s="303" t="s">
        <v>293</v>
      </c>
      <c r="H172" s="303"/>
      <c r="I172" s="303"/>
      <c r="J172" s="303"/>
      <c r="K172" s="303"/>
      <c r="L172"/>
      <c r="M172"/>
      <c r="N172"/>
      <c r="O172"/>
      <c r="P172"/>
      <c r="Q172"/>
      <c r="R172"/>
      <c r="S172"/>
      <c r="T172"/>
      <c r="U172"/>
      <c r="V172"/>
    </row>
    <row r="173" spans="1:22" ht="12.75" customHeight="1" x14ac:dyDescent="0.3">
      <c r="A173" s="128"/>
      <c r="B173" s="128"/>
      <c r="C173" s="128"/>
      <c r="D173" s="128"/>
      <c r="E173" s="128"/>
      <c r="F173" s="128"/>
      <c r="G173" s="128"/>
      <c r="H173" s="128"/>
      <c r="I173" s="128"/>
      <c r="J173" s="128"/>
      <c r="K173" s="128"/>
      <c r="L173"/>
      <c r="M173"/>
      <c r="N173"/>
      <c r="O173"/>
      <c r="P173"/>
      <c r="Q173"/>
      <c r="R173"/>
      <c r="S173"/>
      <c r="T173"/>
      <c r="U173"/>
      <c r="V173"/>
    </row>
    <row r="174" spans="1:22" ht="12.75" customHeight="1" x14ac:dyDescent="0.3">
      <c r="A174" s="128"/>
      <c r="B174" s="128"/>
      <c r="C174" s="128"/>
      <c r="D174" s="128"/>
      <c r="E174" s="128"/>
      <c r="F174" s="128"/>
      <c r="G174" s="128"/>
      <c r="H174" s="128"/>
      <c r="I174" s="128"/>
      <c r="J174" s="128"/>
      <c r="K174" s="128"/>
      <c r="L174"/>
      <c r="M174"/>
      <c r="N174"/>
      <c r="O174"/>
      <c r="P174"/>
      <c r="Q174"/>
      <c r="R174"/>
      <c r="S174"/>
      <c r="T174"/>
      <c r="U174"/>
      <c r="V174"/>
    </row>
    <row r="175" spans="1:22" ht="12.75" customHeight="1" x14ac:dyDescent="0.3">
      <c r="A175" s="128"/>
      <c r="B175" s="128"/>
      <c r="C175" s="128"/>
      <c r="D175" s="128"/>
      <c r="E175" s="128"/>
      <c r="F175" s="128"/>
      <c r="G175" s="128"/>
      <c r="H175" s="128"/>
      <c r="I175" s="128"/>
      <c r="J175" s="128"/>
      <c r="K175" s="128"/>
      <c r="L175"/>
      <c r="M175"/>
      <c r="N175"/>
      <c r="O175"/>
      <c r="P175"/>
      <c r="Q175"/>
      <c r="R175"/>
      <c r="S175"/>
      <c r="T175"/>
      <c r="U175"/>
      <c r="V175"/>
    </row>
    <row r="176" spans="1:22" ht="12.75" customHeight="1" x14ac:dyDescent="0.3">
      <c r="A176" s="128"/>
      <c r="B176" s="128"/>
      <c r="C176" s="128"/>
      <c r="D176" s="128"/>
      <c r="E176" s="128"/>
      <c r="F176" s="128"/>
      <c r="G176" s="128"/>
      <c r="H176" s="128"/>
      <c r="I176" s="128"/>
      <c r="J176" s="128"/>
      <c r="K176" s="128"/>
      <c r="L176"/>
      <c r="M176"/>
      <c r="N176"/>
      <c r="O176"/>
      <c r="P176"/>
      <c r="Q176"/>
      <c r="R176"/>
      <c r="S176"/>
      <c r="T176"/>
      <c r="U176"/>
      <c r="V176"/>
    </row>
    <row r="177" spans="1:22" ht="12.75" customHeight="1" x14ac:dyDescent="0.3">
      <c r="A177" s="128"/>
      <c r="B177" s="128"/>
      <c r="C177" s="128"/>
      <c r="D177" s="128"/>
      <c r="E177" s="128"/>
      <c r="F177" s="128"/>
      <c r="G177" s="128"/>
      <c r="H177" s="128"/>
      <c r="I177" s="128"/>
      <c r="J177" s="128"/>
      <c r="K177" s="128"/>
      <c r="L177"/>
      <c r="M177"/>
      <c r="N177"/>
      <c r="O177"/>
      <c r="P177"/>
      <c r="Q177"/>
      <c r="R177"/>
      <c r="S177"/>
      <c r="T177"/>
      <c r="U177"/>
      <c r="V177"/>
    </row>
    <row r="178" spans="1:22" ht="12.75" customHeight="1" x14ac:dyDescent="0.3">
      <c r="A178" s="128"/>
      <c r="B178" s="128"/>
      <c r="C178" s="128"/>
      <c r="D178" s="128"/>
      <c r="E178" s="128"/>
      <c r="F178" s="128"/>
      <c r="G178" s="128"/>
      <c r="H178" s="128"/>
      <c r="I178" s="128"/>
      <c r="J178" s="128"/>
      <c r="K178" s="128"/>
      <c r="L178"/>
      <c r="M178"/>
      <c r="N178"/>
      <c r="O178"/>
      <c r="P178"/>
      <c r="Q178"/>
      <c r="R178"/>
      <c r="S178"/>
      <c r="T178"/>
      <c r="U178"/>
      <c r="V178"/>
    </row>
    <row r="179" spans="1:22" ht="12.75" customHeight="1" x14ac:dyDescent="0.3">
      <c r="A179" s="128"/>
      <c r="B179" s="128"/>
      <c r="C179" s="128"/>
      <c r="D179" s="128"/>
      <c r="E179" s="128"/>
      <c r="F179" s="128"/>
      <c r="G179" s="128"/>
      <c r="H179" s="128"/>
      <c r="I179" s="128"/>
      <c r="J179" s="128"/>
      <c r="K179" s="128"/>
      <c r="L179"/>
      <c r="M179"/>
      <c r="N179"/>
      <c r="O179"/>
      <c r="P179"/>
      <c r="Q179"/>
      <c r="R179"/>
      <c r="S179"/>
      <c r="T179"/>
      <c r="U179"/>
      <c r="V179"/>
    </row>
    <row r="180" spans="1:22" ht="12.75" customHeight="1" x14ac:dyDescent="0.3">
      <c r="A180" s="128"/>
      <c r="B180" s="128"/>
      <c r="C180" s="128"/>
      <c r="D180" s="128"/>
      <c r="E180" s="128"/>
      <c r="F180" s="128"/>
      <c r="G180" s="128"/>
      <c r="H180" s="128"/>
      <c r="I180" s="128"/>
      <c r="J180" s="128"/>
      <c r="K180" s="128"/>
      <c r="L180"/>
      <c r="M180"/>
      <c r="N180"/>
      <c r="O180"/>
      <c r="P180"/>
      <c r="Q180"/>
      <c r="R180"/>
      <c r="S180"/>
      <c r="T180"/>
      <c r="U180"/>
      <c r="V180"/>
    </row>
    <row r="181" spans="1:22" ht="12.75" customHeight="1" x14ac:dyDescent="0.3">
      <c r="A181" s="128"/>
      <c r="B181" s="128"/>
      <c r="C181" s="128"/>
      <c r="D181" s="128"/>
      <c r="E181" s="128"/>
      <c r="F181" s="128"/>
      <c r="G181" s="128"/>
      <c r="H181" s="128"/>
      <c r="I181" s="128"/>
      <c r="J181" s="128"/>
      <c r="K181" s="128"/>
      <c r="L181"/>
      <c r="M181"/>
      <c r="N181"/>
      <c r="O181"/>
      <c r="P181"/>
      <c r="Q181"/>
      <c r="R181"/>
      <c r="S181"/>
      <c r="T181"/>
      <c r="U181"/>
      <c r="V181"/>
    </row>
    <row r="182" spans="1:22" ht="12.75" customHeight="1" x14ac:dyDescent="0.3">
      <c r="A182" s="128"/>
      <c r="B182" s="128"/>
      <c r="C182" s="128"/>
      <c r="D182" s="128"/>
      <c r="E182" s="128"/>
      <c r="F182" s="128"/>
      <c r="G182" s="128"/>
      <c r="H182" s="128"/>
      <c r="I182" s="128"/>
      <c r="J182" s="128"/>
      <c r="K182" s="128"/>
      <c r="L182"/>
      <c r="M182"/>
      <c r="N182"/>
      <c r="O182"/>
      <c r="P182"/>
      <c r="Q182"/>
      <c r="R182"/>
      <c r="S182"/>
      <c r="T182"/>
      <c r="U182"/>
      <c r="V182"/>
    </row>
    <row r="183" spans="1:22" ht="12.75" customHeight="1" x14ac:dyDescent="0.3">
      <c r="A183" s="67"/>
      <c r="B183" s="67"/>
      <c r="C183" s="67"/>
      <c r="D183" s="67"/>
      <c r="E183" s="67"/>
      <c r="F183" s="67"/>
      <c r="G183" s="67"/>
      <c r="H183" s="67"/>
      <c r="I183" s="67"/>
      <c r="J183" s="67"/>
      <c r="K183" s="67"/>
      <c r="L183"/>
      <c r="M183"/>
      <c r="N183"/>
      <c r="O183"/>
      <c r="P183"/>
      <c r="Q183"/>
      <c r="R183"/>
      <c r="S183"/>
      <c r="T183"/>
      <c r="U183"/>
      <c r="V183"/>
    </row>
    <row r="184" spans="1:22" ht="12.75" customHeight="1" x14ac:dyDescent="0.3">
      <c r="A184" s="128"/>
      <c r="B184" s="128"/>
      <c r="C184" s="128"/>
      <c r="D184" s="128"/>
      <c r="E184" s="128"/>
      <c r="F184" s="128"/>
      <c r="G184" s="128"/>
      <c r="H184" s="128"/>
      <c r="I184" s="128"/>
      <c r="J184" s="128"/>
      <c r="K184" s="128"/>
      <c r="L184"/>
      <c r="M184"/>
      <c r="N184"/>
      <c r="O184"/>
      <c r="P184"/>
      <c r="Q184"/>
      <c r="R184"/>
      <c r="S184"/>
      <c r="T184"/>
      <c r="U184"/>
      <c r="V184"/>
    </row>
    <row r="185" spans="1:22" ht="12.75" customHeight="1" x14ac:dyDescent="0.3">
      <c r="A185" s="128"/>
      <c r="B185" s="128"/>
      <c r="C185" s="128"/>
      <c r="D185" s="128"/>
      <c r="E185" s="128"/>
      <c r="F185" s="128"/>
      <c r="G185" s="128"/>
      <c r="H185" s="128"/>
      <c r="I185" s="128"/>
      <c r="J185" s="128"/>
      <c r="K185" s="128"/>
      <c r="L185"/>
      <c r="M185"/>
      <c r="N185"/>
      <c r="O185"/>
      <c r="P185"/>
      <c r="Q185"/>
      <c r="R185"/>
      <c r="S185"/>
      <c r="T185"/>
      <c r="U185"/>
      <c r="V185"/>
    </row>
    <row r="186" spans="1:22" ht="12.75" customHeight="1" x14ac:dyDescent="0.3">
      <c r="A186" s="128"/>
      <c r="B186" s="128"/>
      <c r="C186" s="128"/>
      <c r="D186" s="128"/>
      <c r="E186" s="128"/>
      <c r="F186" s="128"/>
      <c r="G186" s="128"/>
      <c r="H186" s="128"/>
      <c r="I186" s="128"/>
      <c r="J186" s="128"/>
      <c r="K186" s="128"/>
      <c r="L186"/>
      <c r="M186"/>
      <c r="N186"/>
      <c r="O186"/>
      <c r="P186"/>
      <c r="Q186"/>
      <c r="R186"/>
      <c r="S186"/>
      <c r="T186"/>
      <c r="U186"/>
      <c r="V186"/>
    </row>
    <row r="187" spans="1:22" ht="12.75" customHeight="1" x14ac:dyDescent="0.3">
      <c r="A187" s="128"/>
      <c r="B187" s="128"/>
      <c r="C187" s="128"/>
      <c r="D187" s="128"/>
      <c r="E187" s="128"/>
      <c r="F187" s="128"/>
      <c r="G187" s="128"/>
      <c r="H187" s="128"/>
      <c r="I187" s="128"/>
      <c r="J187" s="128"/>
      <c r="K187" s="128"/>
      <c r="L187"/>
      <c r="M187"/>
      <c r="N187"/>
      <c r="O187"/>
      <c r="P187"/>
      <c r="Q187"/>
      <c r="R187"/>
      <c r="S187"/>
      <c r="T187"/>
      <c r="U187"/>
      <c r="V187"/>
    </row>
    <row r="188" spans="1:22" ht="12.75" customHeight="1" x14ac:dyDescent="0.3">
      <c r="A188" s="67"/>
      <c r="B188" s="67"/>
      <c r="C188" s="67"/>
      <c r="D188" s="67"/>
      <c r="E188" s="67"/>
      <c r="F188" s="67"/>
      <c r="G188" s="67"/>
      <c r="H188" s="67"/>
      <c r="I188" s="67"/>
      <c r="J188" s="67"/>
      <c r="K188" s="67"/>
      <c r="L188"/>
      <c r="M188"/>
      <c r="N188"/>
      <c r="O188"/>
      <c r="P188"/>
      <c r="Q188"/>
      <c r="R188"/>
      <c r="S188"/>
      <c r="T188"/>
      <c r="U188"/>
      <c r="V188"/>
    </row>
    <row r="189" spans="1:22" ht="12.75" customHeight="1" x14ac:dyDescent="0.3">
      <c r="A189" s="67"/>
      <c r="B189" s="67"/>
      <c r="C189" s="67"/>
      <c r="D189" s="67"/>
      <c r="E189" s="67"/>
      <c r="F189" s="67"/>
      <c r="G189" s="67"/>
      <c r="H189" s="67"/>
      <c r="I189" s="67"/>
      <c r="J189" s="67"/>
      <c r="K189" s="67"/>
      <c r="L189"/>
      <c r="M189"/>
      <c r="N189"/>
      <c r="O189"/>
      <c r="P189"/>
      <c r="Q189"/>
      <c r="R189"/>
      <c r="S189"/>
      <c r="T189"/>
      <c r="U189"/>
      <c r="V189"/>
    </row>
    <row r="190" spans="1:22" ht="12.75" customHeight="1" x14ac:dyDescent="0.3">
      <c r="A190" s="67"/>
      <c r="B190" s="67"/>
      <c r="C190" s="67"/>
      <c r="D190" s="67"/>
      <c r="E190" s="67"/>
      <c r="F190" s="67"/>
      <c r="G190" s="67"/>
      <c r="H190" s="67"/>
      <c r="I190" s="67"/>
      <c r="J190" s="67"/>
      <c r="K190" s="67"/>
      <c r="L190"/>
      <c r="M190"/>
      <c r="N190"/>
      <c r="O190"/>
      <c r="P190"/>
      <c r="Q190"/>
      <c r="R190"/>
      <c r="S190"/>
      <c r="T190"/>
      <c r="U190"/>
      <c r="V190"/>
    </row>
    <row r="191" spans="1:22" ht="12.75" customHeight="1" x14ac:dyDescent="0.3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7"/>
      <c r="L191"/>
      <c r="M191"/>
      <c r="N191"/>
      <c r="O191"/>
      <c r="P191"/>
      <c r="Q191"/>
      <c r="R191"/>
      <c r="S191"/>
      <c r="T191"/>
      <c r="U191"/>
      <c r="V191"/>
    </row>
    <row r="192" spans="1:22" ht="12.75" customHeight="1" x14ac:dyDescent="0.3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7"/>
      <c r="L192"/>
      <c r="M192"/>
      <c r="N192"/>
      <c r="O192"/>
      <c r="P192"/>
      <c r="Q192"/>
      <c r="R192"/>
      <c r="S192"/>
      <c r="T192"/>
      <c r="U192"/>
      <c r="V192"/>
    </row>
    <row r="193" spans="1:22" ht="12.75" customHeight="1" x14ac:dyDescent="0.3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7"/>
      <c r="L193"/>
      <c r="M193"/>
      <c r="N193"/>
      <c r="O193"/>
      <c r="P193"/>
      <c r="Q193"/>
      <c r="R193"/>
      <c r="S193"/>
      <c r="T193"/>
      <c r="U193"/>
      <c r="V193"/>
    </row>
    <row r="194" spans="1:22" ht="12.75" customHeight="1" x14ac:dyDescent="0.3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7"/>
      <c r="L194"/>
      <c r="M194"/>
      <c r="N194"/>
      <c r="O194"/>
      <c r="P194"/>
      <c r="Q194"/>
      <c r="R194"/>
      <c r="S194"/>
      <c r="T194"/>
      <c r="U194"/>
      <c r="V194"/>
    </row>
    <row r="195" spans="1:22" ht="12.75" customHeight="1" x14ac:dyDescent="0.3">
      <c r="A195" s="67"/>
      <c r="B195" s="67"/>
      <c r="C195" s="67"/>
      <c r="D195" s="67"/>
      <c r="E195" s="67"/>
      <c r="F195" s="67"/>
      <c r="G195" s="67"/>
      <c r="H195" s="67"/>
      <c r="I195" s="67"/>
      <c r="J195" s="67"/>
      <c r="K195" s="67"/>
      <c r="L195"/>
      <c r="M195"/>
      <c r="N195"/>
      <c r="O195"/>
      <c r="P195"/>
      <c r="Q195"/>
      <c r="R195"/>
      <c r="S195"/>
      <c r="T195"/>
      <c r="U195"/>
      <c r="V195"/>
    </row>
    <row r="196" spans="1:22" ht="12.75" customHeight="1" x14ac:dyDescent="0.3">
      <c r="A196" s="67"/>
      <c r="B196" s="67"/>
      <c r="C196" s="67"/>
      <c r="D196" s="67"/>
      <c r="E196" s="67"/>
      <c r="F196" s="67"/>
      <c r="G196" s="67"/>
      <c r="H196" s="67"/>
      <c r="I196" s="67"/>
      <c r="J196" s="67"/>
      <c r="K196" s="67"/>
      <c r="L196"/>
      <c r="M196"/>
      <c r="N196"/>
      <c r="O196"/>
      <c r="P196"/>
      <c r="Q196"/>
      <c r="R196"/>
      <c r="S196"/>
      <c r="T196"/>
      <c r="U196"/>
      <c r="V196"/>
    </row>
    <row r="197" spans="1:22" ht="12.75" customHeight="1" x14ac:dyDescent="0.3">
      <c r="A197" s="67"/>
      <c r="B197" s="67"/>
      <c r="C197" s="67"/>
      <c r="D197" s="67"/>
      <c r="E197" s="67"/>
      <c r="F197" s="67"/>
      <c r="G197" s="67"/>
      <c r="H197" s="67"/>
      <c r="I197" s="67"/>
      <c r="J197" s="67"/>
      <c r="K197" s="67"/>
      <c r="L197"/>
      <c r="M197"/>
      <c r="N197"/>
      <c r="O197"/>
      <c r="P197"/>
      <c r="Q197"/>
      <c r="R197"/>
      <c r="S197"/>
      <c r="T197"/>
      <c r="U197"/>
      <c r="V197"/>
    </row>
    <row r="198" spans="1:22" ht="12.75" customHeight="1" x14ac:dyDescent="0.3">
      <c r="A198" s="67"/>
      <c r="B198" s="67"/>
      <c r="C198" s="67"/>
      <c r="D198" s="67"/>
      <c r="E198" s="67"/>
      <c r="F198" s="67"/>
      <c r="G198" s="67"/>
      <c r="H198" s="67"/>
      <c r="I198" s="67"/>
      <c r="J198" s="67"/>
      <c r="K198" s="67"/>
      <c r="L198"/>
      <c r="M198"/>
      <c r="N198"/>
      <c r="O198"/>
      <c r="P198"/>
      <c r="Q198"/>
      <c r="R198"/>
      <c r="S198"/>
      <c r="T198"/>
      <c r="U198"/>
      <c r="V198"/>
    </row>
    <row r="199" spans="1:22" ht="12.75" customHeight="1" x14ac:dyDescent="0.3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L199"/>
      <c r="M199"/>
      <c r="N199"/>
      <c r="O199"/>
      <c r="P199"/>
      <c r="Q199"/>
      <c r="R199"/>
      <c r="S199"/>
      <c r="T199"/>
      <c r="U199"/>
      <c r="V199"/>
    </row>
    <row r="200" spans="1:22" ht="12.75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ht="12.75" customHeigh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22" ht="12.75" customHeigh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22" ht="12.75" customHeigh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22" ht="12.75" customHeigh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22" ht="12.75" customHeigh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22" ht="12.75" customHeigh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22" ht="12.75" customHeigh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22" ht="12.75" customHeigh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ht="12.75" customHeigh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ht="12.75" customHeigh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ht="12.75" customHeigh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ht="12.75" customHeigh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ht="12.75" customHeigh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ht="12.75" customHeigh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ht="12.75" customHeigh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ht="12.75" customHeigh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ht="12.75" customHeigh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ht="12.75" customHeigh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ht="12.75" customHeigh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ht="12.75" customHeigh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ht="12.75" customHeigh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ht="12.75" customHeigh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ht="12.75" customHeigh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ht="12.75" customHeigh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ht="12.75" customHeigh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ht="12.75" customHeigh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ht="12.75" customHeigh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ht="12.75" customHeigh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ht="12.75" customHeigh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ht="12.75" customHeigh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ht="12.75" customHeigh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ht="12.75" customHeigh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ht="12.75" customHeigh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ht="12.75" customHeigh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ht="12.75" customHeigh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ht="12.75" customHeigh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ht="12.75" customHeigh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ht="12.75" customHeigh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ht="12.75" customHeigh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ht="12.75" customHeigh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ht="12.75" customHeigh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ht="12.75" customHeigh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ht="12.75" customHeigh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ht="12.75" customHeigh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ht="12.75" customHeigh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ht="12.75" customHeigh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ht="12.75" customHeigh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ht="12.75" customHeigh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ht="12.75" customHeigh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ht="12.75" customHeigh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ht="12.75" customHeigh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ht="12.75" customHeigh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ht="12.75" customHeigh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ht="12.75" customHeigh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ht="12.75" customHeigh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ht="12.75" customHeight="1" x14ac:dyDescent="0.3">
      <c r="A256"/>
      <c r="B256"/>
      <c r="C256"/>
      <c r="D256"/>
      <c r="E256"/>
      <c r="F256"/>
      <c r="G256"/>
      <c r="H256"/>
      <c r="I256"/>
      <c r="J256"/>
      <c r="K256"/>
    </row>
  </sheetData>
  <mergeCells count="47">
    <mergeCell ref="H6:I6"/>
    <mergeCell ref="A93:K93"/>
    <mergeCell ref="C94:D94"/>
    <mergeCell ref="G94:I94"/>
    <mergeCell ref="J94:J95"/>
    <mergeCell ref="K94:K95"/>
    <mergeCell ref="F43:F44"/>
    <mergeCell ref="A71:K71"/>
    <mergeCell ref="C72:D72"/>
    <mergeCell ref="G72:I72"/>
    <mergeCell ref="J72:J73"/>
    <mergeCell ref="K72:K73"/>
    <mergeCell ref="J7:K7"/>
    <mergeCell ref="B9:C10"/>
    <mergeCell ref="D9:E10"/>
    <mergeCell ref="G9:H10"/>
    <mergeCell ref="D2:H2"/>
    <mergeCell ref="D3:H3"/>
    <mergeCell ref="A5:B5"/>
    <mergeCell ref="C5:D5"/>
    <mergeCell ref="E5:F5"/>
    <mergeCell ref="G5:H5"/>
    <mergeCell ref="D1:H1"/>
    <mergeCell ref="A172:E172"/>
    <mergeCell ref="G172:K172"/>
    <mergeCell ref="A82:K82"/>
    <mergeCell ref="C83:D83"/>
    <mergeCell ref="G83:I83"/>
    <mergeCell ref="J83:J84"/>
    <mergeCell ref="K83:K84"/>
    <mergeCell ref="A154:E154"/>
    <mergeCell ref="G154:K154"/>
    <mergeCell ref="I9:J10"/>
    <mergeCell ref="A14:K14"/>
    <mergeCell ref="A41:K41"/>
    <mergeCell ref="A136:E136"/>
    <mergeCell ref="G136:K136"/>
    <mergeCell ref="A69:K69"/>
    <mergeCell ref="A105:E105"/>
    <mergeCell ref="G105:K105"/>
    <mergeCell ref="G43:G44"/>
    <mergeCell ref="H43:H44"/>
    <mergeCell ref="I43:I44"/>
    <mergeCell ref="J43:J44"/>
    <mergeCell ref="B43:B44"/>
    <mergeCell ref="C43:C44"/>
    <mergeCell ref="D43:D44"/>
  </mergeCells>
  <conditionalFormatting sqref="A76:K76 A87:K87">
    <cfRule type="expression" dxfId="12" priority="29">
      <formula>$A76=250</formula>
    </cfRule>
  </conditionalFormatting>
  <conditionalFormatting sqref="A78:K78 A89:K89">
    <cfRule type="expression" dxfId="11" priority="28" stopIfTrue="1">
      <formula>$A78=750</formula>
    </cfRule>
  </conditionalFormatting>
  <conditionalFormatting sqref="H77">
    <cfRule type="expression" dxfId="10" priority="27" stopIfTrue="1">
      <formula>$G$77&gt;$G$76</formula>
    </cfRule>
  </conditionalFormatting>
  <conditionalFormatting sqref="H79">
    <cfRule type="expression" dxfId="9" priority="26" stopIfTrue="1">
      <formula>$G$79&gt;$G$78</formula>
    </cfRule>
  </conditionalFormatting>
  <conditionalFormatting sqref="H78">
    <cfRule type="expression" dxfId="8" priority="25">
      <formula>$G$78&gt;$G$77</formula>
    </cfRule>
  </conditionalFormatting>
  <conditionalFormatting sqref="H88">
    <cfRule type="expression" dxfId="7" priority="18" stopIfTrue="1">
      <formula>$G$77&gt;$G$76</formula>
    </cfRule>
  </conditionalFormatting>
  <conditionalFormatting sqref="H90">
    <cfRule type="expression" dxfId="6" priority="17" stopIfTrue="1">
      <formula>$G$79&gt;$G$78</formula>
    </cfRule>
  </conditionalFormatting>
  <conditionalFormatting sqref="H89">
    <cfRule type="expression" dxfId="5" priority="16">
      <formula>$G$78&gt;$G$77</formula>
    </cfRule>
  </conditionalFormatting>
  <conditionalFormatting sqref="A98:K98">
    <cfRule type="expression" dxfId="4" priority="5">
      <formula>$A98=250</formula>
    </cfRule>
  </conditionalFormatting>
  <conditionalFormatting sqref="A100:K100">
    <cfRule type="expression" dxfId="3" priority="4" stopIfTrue="1">
      <formula>$A100=750</formula>
    </cfRule>
  </conditionalFormatting>
  <conditionalFormatting sqref="H99">
    <cfRule type="expression" dxfId="2" priority="3" stopIfTrue="1">
      <formula>$G$77&gt;$G$76</formula>
    </cfRule>
  </conditionalFormatting>
  <conditionalFormatting sqref="H101">
    <cfRule type="expression" dxfId="1" priority="2" stopIfTrue="1">
      <formula>$G$79&gt;$G$78</formula>
    </cfRule>
  </conditionalFormatting>
  <conditionalFormatting sqref="H100">
    <cfRule type="expression" dxfId="0" priority="1">
      <formula>$G$78&gt;$G$77</formula>
    </cfRule>
  </conditionalFormatting>
  <printOptions horizontalCentered="1" verticalCentered="1"/>
  <pageMargins left="3.937007874015748E-2" right="3.937007874015748E-2" top="0.15748031496062992" bottom="0.15748031496062992" header="0.19685039370078741" footer="0.19685039370078741"/>
  <pageSetup paperSize="9" scale="9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Export2PDF">
                <anchor moveWithCells="1" sizeWithCells="1">
                  <from>
                    <xdr:col>13</xdr:col>
                    <xdr:colOff>426720</xdr:colOff>
                    <xdr:row>6</xdr:row>
                    <xdr:rowOff>22860</xdr:rowOff>
                  </from>
                  <to>
                    <xdr:col>15</xdr:col>
                    <xdr:colOff>388620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tabColor rgb="FFFF0000"/>
  </sheetPr>
  <dimension ref="A1:AX39"/>
  <sheetViews>
    <sheetView topLeftCell="Z1" workbookViewId="0">
      <selection activeCell="AX3" sqref="AX3:AX6"/>
    </sheetView>
  </sheetViews>
  <sheetFormatPr defaultColWidth="9.109375" defaultRowHeight="11.4" x14ac:dyDescent="0.2"/>
  <cols>
    <col min="1" max="18" width="9.109375" style="2"/>
    <col min="19" max="19" width="10.109375" style="2" bestFit="1" customWidth="1"/>
    <col min="20" max="20" width="10.109375" style="2" customWidth="1"/>
    <col min="21" max="21" width="11.6640625" style="2" bestFit="1" customWidth="1"/>
    <col min="22" max="26" width="11.6640625" style="2" customWidth="1"/>
    <col min="27" max="27" width="13.109375" style="2" customWidth="1"/>
    <col min="28" max="28" width="11.6640625" style="2" bestFit="1" customWidth="1"/>
    <col min="29" max="29" width="9.109375" style="2"/>
    <col min="30" max="30" width="21.33203125" style="2" bestFit="1" customWidth="1"/>
    <col min="31" max="31" width="10.5546875" style="2" bestFit="1" customWidth="1"/>
    <col min="32" max="16384" width="9.109375" style="2"/>
  </cols>
  <sheetData>
    <row r="1" spans="1:50" ht="12" x14ac:dyDescent="0.25">
      <c r="A1" s="1" t="s">
        <v>210</v>
      </c>
      <c r="B1" s="1" t="s">
        <v>1</v>
      </c>
      <c r="C1" s="1" t="s">
        <v>218</v>
      </c>
      <c r="D1" s="1"/>
      <c r="E1" s="1" t="s">
        <v>219</v>
      </c>
      <c r="F1" s="1" t="s">
        <v>220</v>
      </c>
      <c r="G1" s="1" t="s">
        <v>221</v>
      </c>
      <c r="H1" s="1" t="s">
        <v>225</v>
      </c>
      <c r="I1" s="1" t="s">
        <v>285</v>
      </c>
      <c r="J1" s="1"/>
      <c r="K1" s="114" t="s">
        <v>239</v>
      </c>
      <c r="L1" s="114" t="s">
        <v>215</v>
      </c>
      <c r="M1" s="114" t="s">
        <v>216</v>
      </c>
      <c r="N1" s="1"/>
      <c r="O1" s="1"/>
      <c r="P1" s="1"/>
      <c r="R1" s="1" t="s">
        <v>0</v>
      </c>
      <c r="S1" s="12" t="s">
        <v>1</v>
      </c>
      <c r="T1" s="12" t="s">
        <v>87</v>
      </c>
      <c r="U1" s="12" t="s">
        <v>2</v>
      </c>
      <c r="V1" s="12" t="s">
        <v>93</v>
      </c>
      <c r="W1" s="12" t="s">
        <v>253</v>
      </c>
      <c r="X1" s="12" t="s">
        <v>94</v>
      </c>
      <c r="Y1" s="12" t="s">
        <v>254</v>
      </c>
      <c r="Z1" s="12" t="s">
        <v>95</v>
      </c>
      <c r="AA1" s="12" t="s">
        <v>96</v>
      </c>
      <c r="AB1" s="1" t="s">
        <v>3</v>
      </c>
      <c r="AC1" s="1" t="s">
        <v>4</v>
      </c>
      <c r="AD1" s="1" t="s">
        <v>5</v>
      </c>
      <c r="AE1" s="1" t="s">
        <v>6</v>
      </c>
      <c r="AG1" s="1" t="s">
        <v>7</v>
      </c>
      <c r="AJ1" s="1" t="s">
        <v>8</v>
      </c>
      <c r="AL1" s="1" t="s">
        <v>9</v>
      </c>
      <c r="AN1" s="1" t="s">
        <v>10</v>
      </c>
      <c r="AP1" s="1" t="s">
        <v>11</v>
      </c>
      <c r="AR1" s="1" t="s">
        <v>114</v>
      </c>
      <c r="AT1" s="1" t="s">
        <v>116</v>
      </c>
      <c r="AV1" s="1" t="s">
        <v>123</v>
      </c>
      <c r="AW1" s="1" t="s">
        <v>210</v>
      </c>
      <c r="AX1" s="1" t="s">
        <v>211</v>
      </c>
    </row>
    <row r="2" spans="1:50" ht="11.85" customHeight="1" x14ac:dyDescent="0.3">
      <c r="A2" s="110" t="s">
        <v>223</v>
      </c>
      <c r="B2" s="110" t="s">
        <v>12</v>
      </c>
      <c r="C2" s="111">
        <v>1000</v>
      </c>
      <c r="D2" s="112" t="str">
        <f>A2&amp;"_"&amp;B2&amp;"_"&amp;C2</f>
        <v>M_K1_1000</v>
      </c>
      <c r="E2" s="113">
        <f t="shared" ref="E2:E4" si="0">K2</f>
        <v>2.3981799768518519E-3</v>
      </c>
      <c r="F2" s="113">
        <f t="shared" ref="F2:F4" si="1">L2</f>
        <v>2.4407667824074076E-3</v>
      </c>
      <c r="G2" s="113">
        <f t="shared" ref="G2:G4" si="2">M2</f>
        <v>2.4948234953703703E-3</v>
      </c>
      <c r="H2" s="112">
        <v>80</v>
      </c>
      <c r="I2" s="112">
        <v>140</v>
      </c>
      <c r="J2" s="112"/>
      <c r="K2" s="113">
        <f>'Performance Times'!$B$8</f>
        <v>2.3981799768518519E-3</v>
      </c>
      <c r="L2" s="113">
        <f>'Performance Times'!$H$8</f>
        <v>2.4407667824074076E-3</v>
      </c>
      <c r="M2" s="113">
        <f>'Performance Times'!$N$8</f>
        <v>2.4948234953703703E-3</v>
      </c>
      <c r="N2" s="112"/>
      <c r="O2" s="112"/>
      <c r="P2" s="112"/>
      <c r="R2" s="2" t="s">
        <v>12</v>
      </c>
      <c r="S2" s="85" t="s">
        <v>13</v>
      </c>
      <c r="T2" s="86">
        <v>2.343576388888889E-3</v>
      </c>
      <c r="U2" s="87">
        <f t="shared" ref="U2:U8" si="3">1000/(T2*86400)</f>
        <v>4.9386374299330811</v>
      </c>
      <c r="V2" s="88">
        <f>CEILING(($U2-1),0.5)</f>
        <v>4</v>
      </c>
      <c r="W2" s="88">
        <f>V2*3.6</f>
        <v>14.4</v>
      </c>
      <c r="X2" s="88">
        <f>CEILING(($U2+1),0.5)</f>
        <v>6</v>
      </c>
      <c r="Y2" s="88">
        <f>X2*3.6</f>
        <v>21.6</v>
      </c>
      <c r="Z2" s="89">
        <v>90</v>
      </c>
      <c r="AA2" s="89">
        <v>130</v>
      </c>
      <c r="AB2" s="2" t="s">
        <v>14</v>
      </c>
      <c r="AC2" s="2" t="s">
        <v>15</v>
      </c>
      <c r="AD2" s="2" t="s">
        <v>16</v>
      </c>
      <c r="AE2" s="2" t="s">
        <v>17</v>
      </c>
      <c r="AG2" s="2" t="s">
        <v>18</v>
      </c>
      <c r="AJ2" s="2">
        <v>1</v>
      </c>
      <c r="AL2" s="2">
        <v>1000</v>
      </c>
      <c r="AN2" s="2" t="s">
        <v>19</v>
      </c>
      <c r="AP2" s="2">
        <v>0</v>
      </c>
      <c r="AR2" s="2" t="s">
        <v>115</v>
      </c>
      <c r="AT2" s="2" t="s">
        <v>117</v>
      </c>
      <c r="AV2" s="2" t="s">
        <v>124</v>
      </c>
      <c r="AW2" s="2" t="s">
        <v>212</v>
      </c>
      <c r="AX2" s="2" t="s">
        <v>214</v>
      </c>
    </row>
    <row r="3" spans="1:50" ht="11.85" customHeight="1" x14ac:dyDescent="0.3">
      <c r="A3" s="110" t="s">
        <v>223</v>
      </c>
      <c r="B3" s="110" t="s">
        <v>222</v>
      </c>
      <c r="C3" s="111">
        <v>1000</v>
      </c>
      <c r="D3" s="112" t="str">
        <f t="shared" ref="D3:D32" si="4">A3&amp;"_"&amp;B3&amp;"_"&amp;C3</f>
        <v>M_K2_1000</v>
      </c>
      <c r="E3" s="113">
        <f t="shared" si="0"/>
        <v>2.1972974537037035E-3</v>
      </c>
      <c r="F3" s="113">
        <f t="shared" si="1"/>
        <v>2.2413078703703701E-3</v>
      </c>
      <c r="G3" s="113">
        <f t="shared" si="2"/>
        <v>2.2860329861111115E-3</v>
      </c>
      <c r="H3" s="112">
        <v>90</v>
      </c>
      <c r="I3" s="112">
        <v>150</v>
      </c>
      <c r="J3" s="112"/>
      <c r="K3" s="113">
        <f>'Performance Times'!$B$10</f>
        <v>2.1972974537037035E-3</v>
      </c>
      <c r="L3" s="113">
        <f>'Performance Times'!$H$10</f>
        <v>2.2413078703703701E-3</v>
      </c>
      <c r="M3" s="113">
        <f>'Performance Times'!$N$10</f>
        <v>2.2860329861111115E-3</v>
      </c>
      <c r="N3" s="112"/>
      <c r="O3" s="112"/>
      <c r="P3" s="112"/>
      <c r="R3" s="2" t="s">
        <v>222</v>
      </c>
      <c r="S3" s="85" t="s">
        <v>20</v>
      </c>
      <c r="T3" s="86">
        <v>2.1619444444444442E-3</v>
      </c>
      <c r="U3" s="87">
        <f t="shared" si="3"/>
        <v>5.3535483318343404</v>
      </c>
      <c r="V3" s="88">
        <f>CEILING(($U3-1.5),0.5)</f>
        <v>4</v>
      </c>
      <c r="W3" s="88">
        <f t="shared" ref="W3:Y38" si="5">V3*3.6</f>
        <v>14.4</v>
      </c>
      <c r="X3" s="88">
        <f>CEILING(($U3+1),0.5)</f>
        <v>6.5</v>
      </c>
      <c r="Y3" s="88">
        <f t="shared" si="5"/>
        <v>23.400000000000002</v>
      </c>
      <c r="Z3" s="89">
        <v>80</v>
      </c>
      <c r="AA3" s="89">
        <v>150</v>
      </c>
      <c r="AB3" s="2" t="s">
        <v>21</v>
      </c>
      <c r="AC3" s="2" t="s">
        <v>22</v>
      </c>
      <c r="AD3" s="2" t="s">
        <v>23</v>
      </c>
      <c r="AE3" s="2" t="s">
        <v>24</v>
      </c>
      <c r="AG3" s="2" t="s">
        <v>25</v>
      </c>
      <c r="AJ3" s="2">
        <v>2</v>
      </c>
      <c r="AL3" s="2">
        <v>500</v>
      </c>
      <c r="AN3" s="2" t="s">
        <v>26</v>
      </c>
      <c r="AP3" s="2">
        <v>0.1</v>
      </c>
      <c r="AR3" s="2" t="s">
        <v>128</v>
      </c>
      <c r="AT3" s="2" t="s">
        <v>118</v>
      </c>
      <c r="AV3" s="2" t="s">
        <v>125</v>
      </c>
      <c r="AW3" s="2" t="s">
        <v>213</v>
      </c>
      <c r="AX3" s="2" t="s">
        <v>215</v>
      </c>
    </row>
    <row r="4" spans="1:50" ht="11.85" customHeight="1" x14ac:dyDescent="0.3">
      <c r="A4" s="110" t="s">
        <v>223</v>
      </c>
      <c r="B4" s="110" t="s">
        <v>27</v>
      </c>
      <c r="C4" s="111">
        <v>1000</v>
      </c>
      <c r="D4" s="112" t="str">
        <f t="shared" si="4"/>
        <v>M_K4_1000</v>
      </c>
      <c r="E4" s="113">
        <f t="shared" si="0"/>
        <v>2.0156336805555552E-3</v>
      </c>
      <c r="F4" s="113">
        <f t="shared" si="1"/>
        <v>2.0466579861111111E-3</v>
      </c>
      <c r="G4" s="113">
        <f t="shared" si="2"/>
        <v>2.0998437500000001E-3</v>
      </c>
      <c r="H4" s="112">
        <v>100</v>
      </c>
      <c r="I4" s="112">
        <v>140</v>
      </c>
      <c r="J4" s="112"/>
      <c r="K4" s="113">
        <f>'Performance Times'!$B$12</f>
        <v>2.0156336805555552E-3</v>
      </c>
      <c r="L4" s="113">
        <f>'Performance Times'!$H$12</f>
        <v>2.0466579861111111E-3</v>
      </c>
      <c r="M4" s="113">
        <f>'Performance Times'!$N$12</f>
        <v>2.0998437500000001E-3</v>
      </c>
      <c r="N4" s="112"/>
      <c r="O4" s="112"/>
      <c r="P4" s="112"/>
      <c r="R4" s="2" t="s">
        <v>27</v>
      </c>
      <c r="S4" s="85" t="s">
        <v>28</v>
      </c>
      <c r="T4" s="86">
        <v>1.9296759259259258E-3</v>
      </c>
      <c r="U4" s="87">
        <f t="shared" si="3"/>
        <v>5.9979367097718388</v>
      </c>
      <c r="V4" s="88">
        <f>CEILING(($U4-2),0.5)</f>
        <v>4</v>
      </c>
      <c r="W4" s="88">
        <f t="shared" si="5"/>
        <v>14.4</v>
      </c>
      <c r="X4" s="88">
        <f>CEILING(($U4+1),0.5)</f>
        <v>7</v>
      </c>
      <c r="Y4" s="88">
        <f t="shared" si="5"/>
        <v>25.2</v>
      </c>
      <c r="Z4" s="89">
        <v>100</v>
      </c>
      <c r="AA4" s="89">
        <v>140</v>
      </c>
      <c r="AB4" s="2" t="s">
        <v>29</v>
      </c>
      <c r="AC4" s="2" t="s">
        <v>30</v>
      </c>
      <c r="AD4" s="2" t="s">
        <v>31</v>
      </c>
      <c r="AE4" s="2" t="s">
        <v>32</v>
      </c>
      <c r="AG4" s="2" t="s">
        <v>33</v>
      </c>
      <c r="AJ4" s="2">
        <v>3</v>
      </c>
      <c r="AL4" s="2">
        <v>200</v>
      </c>
      <c r="AP4" s="2">
        <v>0.2</v>
      </c>
      <c r="AR4" s="2" t="s">
        <v>129</v>
      </c>
      <c r="AT4" s="2" t="s">
        <v>119</v>
      </c>
      <c r="AX4" s="2" t="s">
        <v>361</v>
      </c>
    </row>
    <row r="5" spans="1:50" ht="11.85" customHeight="1" x14ac:dyDescent="0.3">
      <c r="A5" s="110" t="s">
        <v>223</v>
      </c>
      <c r="B5" s="110" t="s">
        <v>12</v>
      </c>
      <c r="C5" s="111">
        <v>500</v>
      </c>
      <c r="D5" s="112" t="str">
        <f t="shared" si="4"/>
        <v>M_K1_500</v>
      </c>
      <c r="E5" s="113">
        <v>1.1068287037037038E-3</v>
      </c>
      <c r="F5" s="113">
        <f t="shared" ref="F5:F32" si="6">E5*1.1</f>
        <v>1.2175115740740744E-3</v>
      </c>
      <c r="G5" s="113">
        <f t="shared" ref="G5:G32" si="7">E5*1.5</f>
        <v>1.6602430555555559E-3</v>
      </c>
      <c r="H5" s="112">
        <v>90</v>
      </c>
      <c r="I5" s="112">
        <v>145</v>
      </c>
      <c r="J5" s="112"/>
      <c r="K5" s="113"/>
      <c r="L5" s="113"/>
      <c r="M5" s="113"/>
      <c r="N5" s="112"/>
      <c r="O5" s="112"/>
      <c r="P5" s="112"/>
      <c r="R5" s="2" t="s">
        <v>48</v>
      </c>
      <c r="S5" s="85" t="s">
        <v>34</v>
      </c>
      <c r="T5" s="86">
        <v>2.6553587962962963E-3</v>
      </c>
      <c r="U5" s="87">
        <f t="shared" si="3"/>
        <v>4.3587608914537777</v>
      </c>
      <c r="V5" s="88">
        <f>CEILING(($U5-2),0.5)</f>
        <v>2.5</v>
      </c>
      <c r="W5" s="88">
        <f t="shared" si="5"/>
        <v>9</v>
      </c>
      <c r="X5" s="88">
        <f>CEILING(($U5+0),0.5)</f>
        <v>4.5</v>
      </c>
      <c r="Y5" s="88">
        <f t="shared" si="5"/>
        <v>16.2</v>
      </c>
      <c r="Z5" s="89">
        <v>80</v>
      </c>
      <c r="AA5" s="89">
        <v>120</v>
      </c>
      <c r="AB5" s="2" t="s">
        <v>35</v>
      </c>
      <c r="AC5" s="2" t="s">
        <v>36</v>
      </c>
      <c r="AD5" s="2" t="s">
        <v>37</v>
      </c>
      <c r="AE5" s="2" t="s">
        <v>209</v>
      </c>
      <c r="AG5" s="2" t="s">
        <v>202</v>
      </c>
      <c r="AJ5" s="2">
        <v>4</v>
      </c>
      <c r="AR5" s="2" t="s">
        <v>130</v>
      </c>
      <c r="AX5" s="2" t="s">
        <v>216</v>
      </c>
    </row>
    <row r="6" spans="1:50" ht="11.85" customHeight="1" x14ac:dyDescent="0.3">
      <c r="A6" s="110" t="s">
        <v>223</v>
      </c>
      <c r="B6" s="110" t="s">
        <v>222</v>
      </c>
      <c r="C6" s="111">
        <v>500</v>
      </c>
      <c r="D6" s="112" t="str">
        <f t="shared" si="4"/>
        <v>M_K2_500</v>
      </c>
      <c r="E6" s="113">
        <v>1.0054745370370371E-3</v>
      </c>
      <c r="F6" s="113">
        <f t="shared" si="6"/>
        <v>1.106021990740741E-3</v>
      </c>
      <c r="G6" s="113">
        <f t="shared" si="7"/>
        <v>1.5082118055555556E-3</v>
      </c>
      <c r="H6" s="112">
        <v>90</v>
      </c>
      <c r="I6" s="112">
        <v>140</v>
      </c>
      <c r="J6" s="112"/>
      <c r="K6" s="113"/>
      <c r="L6" s="113"/>
      <c r="M6" s="113"/>
      <c r="N6" s="112"/>
      <c r="O6" s="112"/>
      <c r="P6" s="112"/>
      <c r="R6" s="2" t="s">
        <v>53</v>
      </c>
      <c r="S6" s="85" t="s">
        <v>39</v>
      </c>
      <c r="T6" s="86">
        <v>2.4507060185185183E-3</v>
      </c>
      <c r="U6" s="87">
        <f t="shared" si="3"/>
        <v>4.7227509079488623</v>
      </c>
      <c r="V6" s="88">
        <f t="shared" ref="V6:V38" si="8">CEILING(($U6-1.5),0.5)</f>
        <v>3.5</v>
      </c>
      <c r="W6" s="88">
        <f t="shared" si="5"/>
        <v>12.6</v>
      </c>
      <c r="X6" s="88">
        <f t="shared" ref="X6:X38" si="9">CEILING(($U6+0.5),0.5)</f>
        <v>5.5</v>
      </c>
      <c r="Y6" s="88">
        <f t="shared" si="5"/>
        <v>19.8</v>
      </c>
      <c r="Z6" s="89">
        <v>80</v>
      </c>
      <c r="AA6" s="89">
        <v>120</v>
      </c>
      <c r="AB6" s="2" t="s">
        <v>40</v>
      </c>
      <c r="AC6" s="2" t="s">
        <v>41</v>
      </c>
      <c r="AD6" s="2" t="s">
        <v>42</v>
      </c>
      <c r="AE6" s="2" t="s">
        <v>38</v>
      </c>
      <c r="AG6" s="2" t="s">
        <v>205</v>
      </c>
      <c r="AJ6" s="2">
        <v>5</v>
      </c>
      <c r="AX6" s="2" t="s">
        <v>217</v>
      </c>
    </row>
    <row r="7" spans="1:50" ht="11.85" customHeight="1" x14ac:dyDescent="0.3">
      <c r="A7" s="110" t="s">
        <v>223</v>
      </c>
      <c r="B7" s="110" t="s">
        <v>27</v>
      </c>
      <c r="C7" s="111">
        <v>500</v>
      </c>
      <c r="D7" s="112" t="str">
        <f t="shared" si="4"/>
        <v>M_K4_500</v>
      </c>
      <c r="E7" s="113">
        <v>9.2187499999999995E-4</v>
      </c>
      <c r="F7" s="113">
        <f t="shared" si="6"/>
        <v>1.0140625E-3</v>
      </c>
      <c r="G7" s="113">
        <f t="shared" si="7"/>
        <v>1.3828124999999999E-3</v>
      </c>
      <c r="H7" s="112">
        <v>110</v>
      </c>
      <c r="I7" s="112">
        <v>150</v>
      </c>
      <c r="J7" s="112"/>
      <c r="K7" s="113"/>
      <c r="L7" s="113"/>
      <c r="M7" s="113"/>
      <c r="N7" s="112"/>
      <c r="O7" s="112"/>
      <c r="P7" s="112"/>
      <c r="R7" s="2" t="s">
        <v>58</v>
      </c>
      <c r="S7" s="85" t="s">
        <v>44</v>
      </c>
      <c r="T7" s="86">
        <v>2.2372222222222225E-3</v>
      </c>
      <c r="U7" s="87">
        <f t="shared" si="3"/>
        <v>5.1734127969538939</v>
      </c>
      <c r="V7" s="88">
        <f t="shared" si="8"/>
        <v>4</v>
      </c>
      <c r="W7" s="88">
        <f t="shared" si="5"/>
        <v>14.4</v>
      </c>
      <c r="X7" s="88">
        <f t="shared" si="9"/>
        <v>6</v>
      </c>
      <c r="Y7" s="88">
        <f t="shared" si="5"/>
        <v>21.6</v>
      </c>
      <c r="Z7" s="89">
        <v>80</v>
      </c>
      <c r="AA7" s="89">
        <v>120</v>
      </c>
      <c r="AB7" s="2" t="s">
        <v>45</v>
      </c>
      <c r="AC7" s="2" t="s">
        <v>46</v>
      </c>
      <c r="AD7" s="2" t="s">
        <v>337</v>
      </c>
      <c r="AE7" s="2" t="s">
        <v>43</v>
      </c>
      <c r="AG7" s="2" t="s">
        <v>204</v>
      </c>
      <c r="AJ7" s="2">
        <v>6</v>
      </c>
    </row>
    <row r="8" spans="1:50" ht="11.85" customHeight="1" x14ac:dyDescent="0.3">
      <c r="A8" s="110" t="s">
        <v>223</v>
      </c>
      <c r="B8" s="110" t="s">
        <v>12</v>
      </c>
      <c r="C8" s="111">
        <v>200</v>
      </c>
      <c r="D8" s="112" t="str">
        <f t="shared" si="4"/>
        <v>M_K1_200</v>
      </c>
      <c r="E8" s="113">
        <f>K$8</f>
        <v>4.0105324074074072E-4</v>
      </c>
      <c r="F8" s="113">
        <f t="shared" ref="F8:G8" si="10">L$8</f>
        <v>3.9743055555555555E-4</v>
      </c>
      <c r="G8" s="113">
        <f t="shared" si="10"/>
        <v>4.1639467592592585E-4</v>
      </c>
      <c r="H8" s="112">
        <v>120</v>
      </c>
      <c r="I8" s="112">
        <v>170</v>
      </c>
      <c r="J8" s="112"/>
      <c r="K8" s="113">
        <f>'Performance Times'!$B$18</f>
        <v>4.0105324074074072E-4</v>
      </c>
      <c r="L8" s="113">
        <f>'Performance Times'!$H$18</f>
        <v>3.9743055555555555E-4</v>
      </c>
      <c r="M8" s="113">
        <f>'Performance Times'!$N$18</f>
        <v>4.1639467592592585E-4</v>
      </c>
      <c r="N8" s="112"/>
      <c r="O8" s="112"/>
      <c r="P8" s="112"/>
      <c r="R8" s="2" t="s">
        <v>331</v>
      </c>
      <c r="S8" s="85" t="s">
        <v>49</v>
      </c>
      <c r="T8" s="86">
        <v>2.5992824074074074E-3</v>
      </c>
      <c r="U8" s="87">
        <f t="shared" si="3"/>
        <v>4.4527959105522354</v>
      </c>
      <c r="V8" s="88">
        <f t="shared" si="8"/>
        <v>3</v>
      </c>
      <c r="W8" s="88">
        <f t="shared" si="5"/>
        <v>10.8</v>
      </c>
      <c r="X8" s="88">
        <f t="shared" si="9"/>
        <v>5</v>
      </c>
      <c r="Y8" s="88">
        <f t="shared" si="5"/>
        <v>18</v>
      </c>
      <c r="Z8" s="89">
        <v>70</v>
      </c>
      <c r="AA8" s="89">
        <v>110</v>
      </c>
      <c r="AB8" s="2" t="s">
        <v>86</v>
      </c>
      <c r="AC8" s="2" t="s">
        <v>50</v>
      </c>
      <c r="AD8" s="2" t="s">
        <v>338</v>
      </c>
      <c r="AE8" s="2" t="s">
        <v>47</v>
      </c>
      <c r="AG8" s="2" t="s">
        <v>203</v>
      </c>
      <c r="AJ8" s="2">
        <v>7</v>
      </c>
    </row>
    <row r="9" spans="1:50" ht="11.85" customHeight="1" x14ac:dyDescent="0.3">
      <c r="A9" s="110" t="s">
        <v>223</v>
      </c>
      <c r="B9" s="110" t="s">
        <v>222</v>
      </c>
      <c r="C9" s="111">
        <v>200</v>
      </c>
      <c r="D9" s="112" t="str">
        <f t="shared" si="4"/>
        <v>M_K2_200</v>
      </c>
      <c r="E9" s="113">
        <v>3.5300925925925924E-4</v>
      </c>
      <c r="F9" s="113">
        <f t="shared" si="6"/>
        <v>3.8831018518518517E-4</v>
      </c>
      <c r="G9" s="113">
        <f t="shared" si="7"/>
        <v>5.2951388888888883E-4</v>
      </c>
      <c r="H9" s="112">
        <v>120</v>
      </c>
      <c r="I9" s="112">
        <v>170</v>
      </c>
      <c r="J9" s="112"/>
      <c r="K9" s="113"/>
      <c r="L9" s="113"/>
      <c r="M9" s="113"/>
      <c r="N9" s="112"/>
      <c r="O9" s="112"/>
      <c r="P9" s="112"/>
      <c r="R9" s="2" t="s">
        <v>332</v>
      </c>
      <c r="S9" s="85" t="s">
        <v>54</v>
      </c>
      <c r="T9" s="86">
        <v>2.4113425925925925E-3</v>
      </c>
      <c r="U9" s="87">
        <f t="shared" ref="U9:U10" si="11">1000/(T9*86400)</f>
        <v>4.7998464049150424</v>
      </c>
      <c r="V9" s="88">
        <f t="shared" si="8"/>
        <v>3.5</v>
      </c>
      <c r="W9" s="88">
        <f t="shared" si="5"/>
        <v>12.6</v>
      </c>
      <c r="X9" s="88">
        <f t="shared" si="9"/>
        <v>5.5</v>
      </c>
      <c r="Y9" s="88">
        <f t="shared" si="5"/>
        <v>19.8</v>
      </c>
      <c r="Z9" s="89">
        <v>80</v>
      </c>
      <c r="AA9" s="89">
        <v>120</v>
      </c>
      <c r="AC9" s="2" t="s">
        <v>55</v>
      </c>
      <c r="AD9" s="2" t="s">
        <v>51</v>
      </c>
      <c r="AE9" s="2" t="s">
        <v>52</v>
      </c>
      <c r="AG9" s="2" t="s">
        <v>358</v>
      </c>
      <c r="AJ9" s="2">
        <v>8</v>
      </c>
    </row>
    <row r="10" spans="1:50" ht="11.85" customHeight="1" x14ac:dyDescent="0.3">
      <c r="A10" s="110" t="s">
        <v>223</v>
      </c>
      <c r="B10" s="110" t="s">
        <v>27</v>
      </c>
      <c r="C10" s="111">
        <v>200</v>
      </c>
      <c r="D10" s="112" t="str">
        <f t="shared" si="4"/>
        <v>M_K4_200</v>
      </c>
      <c r="E10" s="112"/>
      <c r="F10" s="113">
        <f t="shared" si="6"/>
        <v>0</v>
      </c>
      <c r="G10" s="113">
        <f t="shared" si="7"/>
        <v>0</v>
      </c>
      <c r="H10" s="112">
        <v>120</v>
      </c>
      <c r="I10" s="112">
        <v>160</v>
      </c>
      <c r="J10" s="112"/>
      <c r="K10" s="113"/>
      <c r="L10" s="113"/>
      <c r="M10" s="113"/>
      <c r="N10" s="112"/>
      <c r="O10" s="112"/>
      <c r="P10" s="112"/>
      <c r="R10" s="2" t="s">
        <v>333</v>
      </c>
      <c r="S10" s="85" t="s">
        <v>59</v>
      </c>
      <c r="T10" s="86">
        <v>2.2071874999999999E-3</v>
      </c>
      <c r="U10" s="87">
        <f t="shared" si="11"/>
        <v>5.2438109920766021</v>
      </c>
      <c r="V10" s="88">
        <f t="shared" si="8"/>
        <v>4</v>
      </c>
      <c r="W10" s="88">
        <f t="shared" si="5"/>
        <v>14.4</v>
      </c>
      <c r="X10" s="88">
        <f t="shared" si="9"/>
        <v>6</v>
      </c>
      <c r="Y10" s="88">
        <f t="shared" si="5"/>
        <v>21.6</v>
      </c>
      <c r="Z10" s="89">
        <v>80</v>
      </c>
      <c r="AA10" s="89">
        <v>120</v>
      </c>
      <c r="AC10" s="2" t="s">
        <v>60</v>
      </c>
      <c r="AD10" s="2" t="s">
        <v>56</v>
      </c>
      <c r="AE10" s="2" t="s">
        <v>57</v>
      </c>
      <c r="AJ10" s="2">
        <v>9</v>
      </c>
    </row>
    <row r="11" spans="1:50" ht="11.85" customHeight="1" x14ac:dyDescent="0.3">
      <c r="A11" s="110" t="s">
        <v>223</v>
      </c>
      <c r="B11" s="110" t="s">
        <v>48</v>
      </c>
      <c r="C11" s="111">
        <v>1000</v>
      </c>
      <c r="D11" s="112" t="str">
        <f t="shared" si="4"/>
        <v>M_C1_1000</v>
      </c>
      <c r="E11" s="113">
        <f t="shared" ref="E11:E12" si="12">K11</f>
        <v>2.6551967592592591E-3</v>
      </c>
      <c r="F11" s="113">
        <f t="shared" ref="F11:F12" si="13">L11</f>
        <v>2.7072424768518517E-3</v>
      </c>
      <c r="G11" s="113">
        <f t="shared" ref="G11:G12" si="14">M11</f>
        <v>2.710366512345679E-3</v>
      </c>
      <c r="H11" s="112">
        <v>70</v>
      </c>
      <c r="I11" s="112">
        <v>110</v>
      </c>
      <c r="J11" s="112"/>
      <c r="K11" s="113">
        <f>'Performance Times'!$B$14</f>
        <v>2.6551967592592591E-3</v>
      </c>
      <c r="L11" s="113">
        <f>'Performance Times'!$H$14</f>
        <v>2.7072424768518517E-3</v>
      </c>
      <c r="M11" s="113">
        <f>'Performance Times'!$N$14</f>
        <v>2.710366512345679E-3</v>
      </c>
      <c r="N11" s="112"/>
      <c r="O11" s="112"/>
      <c r="P11" s="112"/>
      <c r="R11" s="2" t="s">
        <v>334</v>
      </c>
      <c r="S11" s="85" t="s">
        <v>62</v>
      </c>
      <c r="T11" s="86">
        <v>1.1068287037037038E-3</v>
      </c>
      <c r="U11" s="87">
        <f>500/(T11*86400)</f>
        <v>5.2284847851092744</v>
      </c>
      <c r="V11" s="88">
        <f t="shared" si="8"/>
        <v>4</v>
      </c>
      <c r="W11" s="88">
        <f t="shared" si="5"/>
        <v>14.4</v>
      </c>
      <c r="X11" s="88">
        <f t="shared" si="9"/>
        <v>6</v>
      </c>
      <c r="Y11" s="88">
        <f t="shared" si="5"/>
        <v>21.6</v>
      </c>
      <c r="Z11" s="89">
        <v>105</v>
      </c>
      <c r="AA11" s="89">
        <v>145</v>
      </c>
      <c r="AC11" s="2" t="s">
        <v>63</v>
      </c>
      <c r="AD11" s="2" t="s">
        <v>208</v>
      </c>
      <c r="AE11" s="2" t="s">
        <v>61</v>
      </c>
      <c r="AJ11" s="2" t="s">
        <v>63</v>
      </c>
    </row>
    <row r="12" spans="1:50" ht="11.85" customHeight="1" x14ac:dyDescent="0.3">
      <c r="A12" s="110" t="s">
        <v>223</v>
      </c>
      <c r="B12" s="110" t="s">
        <v>53</v>
      </c>
      <c r="C12" s="111">
        <v>1000</v>
      </c>
      <c r="D12" s="112" t="str">
        <f t="shared" si="4"/>
        <v>M_C2_1000</v>
      </c>
      <c r="E12" s="113">
        <f t="shared" si="12"/>
        <v>2.5016319444444448E-3</v>
      </c>
      <c r="F12" s="113">
        <f t="shared" si="13"/>
        <v>2.4978327546296298E-3</v>
      </c>
      <c r="G12" s="113">
        <f t="shared" si="14"/>
        <v>2.5579484953703706E-3</v>
      </c>
      <c r="H12" s="112">
        <v>80</v>
      </c>
      <c r="I12" s="112">
        <v>120</v>
      </c>
      <c r="J12" s="112"/>
      <c r="K12" s="113">
        <f>'Performance Times'!$B$16</f>
        <v>2.5016319444444448E-3</v>
      </c>
      <c r="L12" s="113">
        <f>'Performance Times'!$H$16</f>
        <v>2.4978327546296298E-3</v>
      </c>
      <c r="M12" s="113">
        <f>'Performance Times'!$N$16</f>
        <v>2.5579484953703706E-3</v>
      </c>
      <c r="N12" s="112"/>
      <c r="O12" s="112"/>
      <c r="P12" s="112"/>
      <c r="R12" s="2" t="s">
        <v>335</v>
      </c>
      <c r="S12" s="85" t="s">
        <v>65</v>
      </c>
      <c r="T12" s="86">
        <v>1.0054745370370371E-3</v>
      </c>
      <c r="U12" s="87">
        <f t="shared" ref="U12:U18" si="15">500/(T12*86400)</f>
        <v>5.7555281848215207</v>
      </c>
      <c r="V12" s="88">
        <f t="shared" si="8"/>
        <v>4.5</v>
      </c>
      <c r="W12" s="88">
        <f t="shared" si="5"/>
        <v>16.2</v>
      </c>
      <c r="X12" s="88">
        <f t="shared" si="9"/>
        <v>6.5</v>
      </c>
      <c r="Y12" s="88">
        <f t="shared" si="5"/>
        <v>23.400000000000002</v>
      </c>
      <c r="Z12" s="89">
        <v>100</v>
      </c>
      <c r="AA12" s="89">
        <v>140</v>
      </c>
      <c r="AE12" s="2" t="s">
        <v>64</v>
      </c>
    </row>
    <row r="13" spans="1:50" ht="11.85" customHeight="1" x14ac:dyDescent="0.3">
      <c r="A13" s="110" t="s">
        <v>223</v>
      </c>
      <c r="B13" s="110" t="s">
        <v>58</v>
      </c>
      <c r="C13" s="111">
        <v>1000</v>
      </c>
      <c r="D13" s="112" t="str">
        <f t="shared" si="4"/>
        <v>M_C4_1000</v>
      </c>
      <c r="E13" s="113">
        <v>2.2071874999999999E-3</v>
      </c>
      <c r="F13" s="113">
        <f t="shared" si="6"/>
        <v>2.4279062499999999E-3</v>
      </c>
      <c r="G13" s="113">
        <f t="shared" si="7"/>
        <v>3.3107812499999999E-3</v>
      </c>
      <c r="H13" s="112">
        <v>80</v>
      </c>
      <c r="I13" s="112">
        <v>120</v>
      </c>
      <c r="J13" s="112"/>
      <c r="K13" s="113"/>
      <c r="L13" s="112"/>
      <c r="M13" s="112"/>
      <c r="N13" s="112"/>
      <c r="O13" s="112"/>
      <c r="P13" s="112"/>
      <c r="R13" s="2" t="s">
        <v>336</v>
      </c>
      <c r="S13" s="85" t="s">
        <v>67</v>
      </c>
      <c r="T13" s="86">
        <v>9.2187499999999995E-4</v>
      </c>
      <c r="U13" s="87">
        <f t="shared" si="15"/>
        <v>6.2774639045825493</v>
      </c>
      <c r="V13" s="88">
        <f t="shared" si="8"/>
        <v>5</v>
      </c>
      <c r="W13" s="88">
        <f t="shared" si="5"/>
        <v>18</v>
      </c>
      <c r="X13" s="88">
        <f t="shared" si="9"/>
        <v>7</v>
      </c>
      <c r="Y13" s="88">
        <f t="shared" si="5"/>
        <v>25.2</v>
      </c>
      <c r="Z13" s="89">
        <v>110</v>
      </c>
      <c r="AA13" s="89">
        <v>150</v>
      </c>
      <c r="AE13" s="2" t="s">
        <v>66</v>
      </c>
    </row>
    <row r="14" spans="1:50" ht="11.85" customHeight="1" x14ac:dyDescent="0.3">
      <c r="A14" s="110" t="s">
        <v>223</v>
      </c>
      <c r="B14" s="110" t="s">
        <v>48</v>
      </c>
      <c r="C14" s="111">
        <v>500</v>
      </c>
      <c r="D14" s="112" t="str">
        <f t="shared" si="4"/>
        <v>M_C1_500</v>
      </c>
      <c r="E14" s="113">
        <v>1.2223842592592592E-3</v>
      </c>
      <c r="F14" s="113">
        <f t="shared" si="6"/>
        <v>1.3446226851851852E-3</v>
      </c>
      <c r="G14" s="113">
        <f t="shared" si="7"/>
        <v>1.8335763888888889E-3</v>
      </c>
      <c r="H14" s="112">
        <v>80</v>
      </c>
      <c r="I14" s="112">
        <v>120</v>
      </c>
      <c r="J14" s="112"/>
      <c r="K14" s="113"/>
      <c r="L14" s="112"/>
      <c r="M14" s="112"/>
      <c r="N14" s="112"/>
      <c r="O14" s="112"/>
      <c r="P14" s="112"/>
      <c r="S14" s="85" t="s">
        <v>69</v>
      </c>
      <c r="T14" s="86">
        <v>1.2391898148148147E-3</v>
      </c>
      <c r="U14" s="87">
        <f t="shared" si="15"/>
        <v>4.6700166252591861</v>
      </c>
      <c r="V14" s="88">
        <f t="shared" si="8"/>
        <v>3.5</v>
      </c>
      <c r="W14" s="88">
        <f t="shared" si="5"/>
        <v>12.6</v>
      </c>
      <c r="X14" s="88">
        <f t="shared" si="9"/>
        <v>5.5</v>
      </c>
      <c r="Y14" s="88">
        <f t="shared" si="5"/>
        <v>19.8</v>
      </c>
      <c r="Z14" s="89">
        <v>90</v>
      </c>
      <c r="AA14" s="89">
        <v>150</v>
      </c>
      <c r="AE14" s="2" t="s">
        <v>148</v>
      </c>
    </row>
    <row r="15" spans="1:50" ht="11.85" customHeight="1" x14ac:dyDescent="0.3">
      <c r="A15" s="110" t="s">
        <v>223</v>
      </c>
      <c r="B15" s="110" t="s">
        <v>53</v>
      </c>
      <c r="C15" s="111">
        <v>500</v>
      </c>
      <c r="D15" s="112" t="str">
        <f t="shared" si="4"/>
        <v>M_C2_500</v>
      </c>
      <c r="E15" s="113">
        <v>1.1091319444444445E-3</v>
      </c>
      <c r="F15" s="113">
        <f t="shared" si="6"/>
        <v>1.220045138888889E-3</v>
      </c>
      <c r="G15" s="113">
        <f t="shared" si="7"/>
        <v>1.6636979166666666E-3</v>
      </c>
      <c r="H15" s="112">
        <v>80</v>
      </c>
      <c r="I15" s="112">
        <v>120</v>
      </c>
      <c r="J15" s="112"/>
      <c r="K15" s="113"/>
      <c r="L15" s="112"/>
      <c r="M15" s="112"/>
      <c r="N15" s="112"/>
      <c r="O15" s="112"/>
      <c r="P15" s="112"/>
      <c r="S15" s="85" t="s">
        <v>71</v>
      </c>
      <c r="T15" s="86">
        <v>1.1235069444444446E-3</v>
      </c>
      <c r="U15" s="87">
        <f t="shared" si="15"/>
        <v>5.1508689515921331</v>
      </c>
      <c r="V15" s="88">
        <f t="shared" si="8"/>
        <v>4</v>
      </c>
      <c r="W15" s="88">
        <f t="shared" si="5"/>
        <v>14.4</v>
      </c>
      <c r="X15" s="88">
        <f t="shared" si="9"/>
        <v>6</v>
      </c>
      <c r="Y15" s="88">
        <f t="shared" si="5"/>
        <v>21.6</v>
      </c>
      <c r="Z15" s="89">
        <v>110</v>
      </c>
      <c r="AA15" s="89">
        <v>150</v>
      </c>
      <c r="AE15" s="2" t="s">
        <v>68</v>
      </c>
    </row>
    <row r="16" spans="1:50" ht="11.85" customHeight="1" x14ac:dyDescent="0.3">
      <c r="A16" s="110" t="s">
        <v>223</v>
      </c>
      <c r="B16" s="110" t="s">
        <v>48</v>
      </c>
      <c r="C16" s="111">
        <v>200</v>
      </c>
      <c r="D16" s="112" t="str">
        <f t="shared" si="4"/>
        <v>M_C1_200</v>
      </c>
      <c r="E16" s="113">
        <v>4.4140046296296305E-4</v>
      </c>
      <c r="F16" s="113">
        <f t="shared" si="6"/>
        <v>4.855405092592594E-4</v>
      </c>
      <c r="G16" s="113">
        <f t="shared" si="7"/>
        <v>6.6210069444444454E-4</v>
      </c>
      <c r="H16" s="112">
        <v>80</v>
      </c>
      <c r="I16" s="112">
        <v>120</v>
      </c>
      <c r="J16" s="112"/>
      <c r="K16" s="113"/>
      <c r="L16" s="112"/>
      <c r="M16" s="112"/>
      <c r="N16" s="112"/>
      <c r="O16" s="112"/>
      <c r="P16" s="112"/>
      <c r="S16" s="85" t="s">
        <v>73</v>
      </c>
      <c r="T16" s="86">
        <v>1.0210532407407408E-3</v>
      </c>
      <c r="U16" s="87">
        <f t="shared" si="15"/>
        <v>5.6677133043902099</v>
      </c>
      <c r="V16" s="88">
        <f t="shared" si="8"/>
        <v>4.5</v>
      </c>
      <c r="W16" s="88">
        <f t="shared" si="5"/>
        <v>16.2</v>
      </c>
      <c r="X16" s="88">
        <f t="shared" si="9"/>
        <v>6.5</v>
      </c>
      <c r="Y16" s="88">
        <f t="shared" si="5"/>
        <v>23.400000000000002</v>
      </c>
      <c r="Z16" s="89">
        <v>100</v>
      </c>
      <c r="AA16" s="89">
        <v>140</v>
      </c>
      <c r="AE16" s="2" t="s">
        <v>70</v>
      </c>
    </row>
    <row r="17" spans="1:31" ht="11.85" customHeight="1" x14ac:dyDescent="0.3">
      <c r="A17" s="110" t="s">
        <v>223</v>
      </c>
      <c r="B17" s="110" t="s">
        <v>53</v>
      </c>
      <c r="C17" s="111">
        <v>200</v>
      </c>
      <c r="D17" s="112" t="str">
        <f t="shared" si="4"/>
        <v>M_C2_200</v>
      </c>
      <c r="E17" s="113">
        <v>4.0914351851851854E-4</v>
      </c>
      <c r="F17" s="113">
        <f t="shared" si="6"/>
        <v>4.5005787037037041E-4</v>
      </c>
      <c r="G17" s="113">
        <f t="shared" si="7"/>
        <v>6.137152777777778E-4</v>
      </c>
      <c r="H17" s="112">
        <v>80</v>
      </c>
      <c r="I17" s="112">
        <v>120</v>
      </c>
      <c r="J17" s="112"/>
      <c r="K17" s="113"/>
      <c r="L17" s="112"/>
      <c r="M17" s="112"/>
      <c r="N17" s="112"/>
      <c r="O17" s="112"/>
      <c r="P17" s="112"/>
      <c r="S17" s="85" t="s">
        <v>88</v>
      </c>
      <c r="T17" s="86">
        <v>1.2223842592592592E-3</v>
      </c>
      <c r="U17" s="87">
        <f t="shared" si="15"/>
        <v>4.7342208419338352</v>
      </c>
      <c r="V17" s="88">
        <f t="shared" si="8"/>
        <v>3.5</v>
      </c>
      <c r="W17" s="88">
        <f t="shared" si="5"/>
        <v>12.6</v>
      </c>
      <c r="X17" s="88">
        <f t="shared" si="9"/>
        <v>5.5</v>
      </c>
      <c r="Y17" s="88">
        <f t="shared" si="5"/>
        <v>19.8</v>
      </c>
      <c r="Z17" s="89">
        <v>80</v>
      </c>
      <c r="AA17" s="89">
        <v>120</v>
      </c>
      <c r="AE17" s="2" t="s">
        <v>72</v>
      </c>
    </row>
    <row r="18" spans="1:31" ht="11.85" customHeight="1" x14ac:dyDescent="0.3">
      <c r="A18" s="106" t="s">
        <v>224</v>
      </c>
      <c r="B18" s="106" t="s">
        <v>12</v>
      </c>
      <c r="C18" s="107">
        <v>1000</v>
      </c>
      <c r="D18" s="108" t="str">
        <f t="shared" si="4"/>
        <v>W_K1_1000</v>
      </c>
      <c r="E18" s="109">
        <v>2.6553587962962963E-3</v>
      </c>
      <c r="F18" s="109">
        <f t="shared" si="6"/>
        <v>2.9208946759259262E-3</v>
      </c>
      <c r="G18" s="109">
        <f t="shared" si="7"/>
        <v>3.9830381944444444E-3</v>
      </c>
      <c r="H18" s="108">
        <v>80</v>
      </c>
      <c r="I18" s="108">
        <v>120</v>
      </c>
      <c r="J18" s="108"/>
      <c r="K18" s="109"/>
      <c r="L18" s="108"/>
      <c r="M18" s="108"/>
      <c r="N18" s="108"/>
      <c r="O18" s="108"/>
      <c r="P18" s="108"/>
      <c r="S18" s="85" t="s">
        <v>89</v>
      </c>
      <c r="T18" s="86">
        <v>1.1091319444444445E-3</v>
      </c>
      <c r="U18" s="87">
        <f t="shared" si="15"/>
        <v>5.2176272318400478</v>
      </c>
      <c r="V18" s="88">
        <f t="shared" si="8"/>
        <v>4</v>
      </c>
      <c r="W18" s="88">
        <f t="shared" si="5"/>
        <v>14.4</v>
      </c>
      <c r="X18" s="88">
        <f t="shared" si="9"/>
        <v>6</v>
      </c>
      <c r="Y18" s="88">
        <f t="shared" si="5"/>
        <v>21.6</v>
      </c>
      <c r="Z18" s="89">
        <v>80</v>
      </c>
      <c r="AA18" s="89">
        <v>120</v>
      </c>
      <c r="AE18" s="2" t="s">
        <v>147</v>
      </c>
    </row>
    <row r="19" spans="1:31" ht="11.85" customHeight="1" x14ac:dyDescent="0.3">
      <c r="A19" s="106" t="s">
        <v>224</v>
      </c>
      <c r="B19" s="106" t="s">
        <v>222</v>
      </c>
      <c r="C19" s="107">
        <v>1000</v>
      </c>
      <c r="D19" s="108" t="str">
        <f t="shared" si="4"/>
        <v>W_K2_1000</v>
      </c>
      <c r="E19" s="109">
        <v>2.4507060185185183E-3</v>
      </c>
      <c r="F19" s="109">
        <f t="shared" si="6"/>
        <v>2.6957766203703705E-3</v>
      </c>
      <c r="G19" s="109">
        <f t="shared" si="7"/>
        <v>3.6760590277777772E-3</v>
      </c>
      <c r="H19" s="108">
        <v>80</v>
      </c>
      <c r="I19" s="108">
        <v>120</v>
      </c>
      <c r="J19" s="108"/>
      <c r="K19" s="109"/>
      <c r="L19" s="108"/>
      <c r="M19" s="108"/>
      <c r="N19" s="108"/>
      <c r="O19" s="108"/>
      <c r="P19" s="108"/>
      <c r="S19" s="85" t="s">
        <v>76</v>
      </c>
      <c r="T19" s="86">
        <v>3.9306712962962955E-4</v>
      </c>
      <c r="U19" s="87">
        <f>200/(T19*86400)</f>
        <v>5.8891080945790772</v>
      </c>
      <c r="V19" s="88">
        <f t="shared" si="8"/>
        <v>4.5</v>
      </c>
      <c r="W19" s="88">
        <f t="shared" si="5"/>
        <v>16.2</v>
      </c>
      <c r="X19" s="88">
        <f t="shared" si="9"/>
        <v>6.5</v>
      </c>
      <c r="Y19" s="88">
        <f t="shared" si="5"/>
        <v>23.400000000000002</v>
      </c>
      <c r="Z19" s="89">
        <v>120</v>
      </c>
      <c r="AA19" s="89">
        <v>160</v>
      </c>
      <c r="AE19" s="2" t="s">
        <v>74</v>
      </c>
    </row>
    <row r="20" spans="1:31" ht="11.85" customHeight="1" x14ac:dyDescent="0.3">
      <c r="A20" s="106" t="s">
        <v>224</v>
      </c>
      <c r="B20" s="106" t="s">
        <v>27</v>
      </c>
      <c r="C20" s="107">
        <v>1000</v>
      </c>
      <c r="D20" s="108" t="str">
        <f t="shared" si="4"/>
        <v>W_K4_1000</v>
      </c>
      <c r="E20" s="109">
        <v>2.2372222222222225E-3</v>
      </c>
      <c r="F20" s="109">
        <f t="shared" si="6"/>
        <v>2.4609444444444449E-3</v>
      </c>
      <c r="G20" s="109">
        <f t="shared" si="7"/>
        <v>3.3558333333333339E-3</v>
      </c>
      <c r="H20" s="108">
        <v>80</v>
      </c>
      <c r="I20" s="108">
        <v>120</v>
      </c>
      <c r="J20" s="108"/>
      <c r="K20" s="109"/>
      <c r="L20" s="108"/>
      <c r="M20" s="108"/>
      <c r="N20" s="108"/>
      <c r="O20" s="108"/>
      <c r="P20" s="108"/>
      <c r="S20" s="85" t="s">
        <v>78</v>
      </c>
      <c r="T20" s="86">
        <v>3.5300925925925924E-4</v>
      </c>
      <c r="U20" s="87">
        <f t="shared" ref="U20:U38" si="16">200/(T20*86400)</f>
        <v>6.5573770491803289</v>
      </c>
      <c r="V20" s="88">
        <f t="shared" si="8"/>
        <v>5.5</v>
      </c>
      <c r="W20" s="88">
        <f t="shared" si="5"/>
        <v>19.8</v>
      </c>
      <c r="X20" s="88">
        <f t="shared" si="9"/>
        <v>7.5</v>
      </c>
      <c r="Y20" s="88">
        <f t="shared" si="5"/>
        <v>27</v>
      </c>
      <c r="Z20" s="89">
        <v>120</v>
      </c>
      <c r="AA20" s="89">
        <v>160</v>
      </c>
      <c r="AE20" s="2" t="s">
        <v>75</v>
      </c>
    </row>
    <row r="21" spans="1:31" ht="11.85" customHeight="1" x14ac:dyDescent="0.3">
      <c r="A21" s="106" t="s">
        <v>224</v>
      </c>
      <c r="B21" s="106" t="s">
        <v>12</v>
      </c>
      <c r="C21" s="107">
        <v>500</v>
      </c>
      <c r="D21" s="108" t="str">
        <f t="shared" si="4"/>
        <v>W_K1_500</v>
      </c>
      <c r="E21" s="109">
        <f t="shared" ref="E21:E24" si="17">K21</f>
        <v>1.2807609953703705E-3</v>
      </c>
      <c r="F21" s="109">
        <f t="shared" ref="F21:F24" si="18">L21</f>
        <v>1.3050028935185185E-3</v>
      </c>
      <c r="G21" s="109">
        <f t="shared" ref="G21:G24" si="19">M21</f>
        <v>1.3451967592592591E-3</v>
      </c>
      <c r="H21" s="108">
        <v>90</v>
      </c>
      <c r="I21" s="108">
        <v>150</v>
      </c>
      <c r="J21" s="108"/>
      <c r="K21" s="109">
        <f>'Performance Times'!$B$23</f>
        <v>1.2807609953703705E-3</v>
      </c>
      <c r="L21" s="109">
        <f>'Performance Times'!$H$23</f>
        <v>1.3050028935185185E-3</v>
      </c>
      <c r="M21" s="109">
        <f>'Performance Times'!$N$23</f>
        <v>1.3451967592592591E-3</v>
      </c>
      <c r="N21" s="108"/>
      <c r="O21" s="108"/>
      <c r="P21" s="108"/>
      <c r="S21" s="85" t="s">
        <v>80</v>
      </c>
      <c r="T21" s="86">
        <v>4.3863425925925927E-4</v>
      </c>
      <c r="U21" s="87">
        <f t="shared" si="16"/>
        <v>5.2773233416011394</v>
      </c>
      <c r="V21" s="88">
        <f t="shared" si="8"/>
        <v>4</v>
      </c>
      <c r="W21" s="88">
        <f t="shared" si="5"/>
        <v>14.4</v>
      </c>
      <c r="X21" s="88">
        <f t="shared" si="9"/>
        <v>6</v>
      </c>
      <c r="Y21" s="88">
        <f t="shared" si="5"/>
        <v>21.6</v>
      </c>
      <c r="Z21" s="89">
        <v>120</v>
      </c>
      <c r="AA21" s="89">
        <v>160</v>
      </c>
      <c r="AE21" s="2" t="s">
        <v>97</v>
      </c>
    </row>
    <row r="22" spans="1:31" ht="11.85" customHeight="1" x14ac:dyDescent="0.3">
      <c r="A22" s="106" t="s">
        <v>224</v>
      </c>
      <c r="B22" s="106" t="s">
        <v>222</v>
      </c>
      <c r="C22" s="107">
        <v>500</v>
      </c>
      <c r="D22" s="108" t="str">
        <f t="shared" si="4"/>
        <v>W_K2_500</v>
      </c>
      <c r="E22" s="109">
        <f t="shared" si="17"/>
        <v>1.173900462962963E-3</v>
      </c>
      <c r="F22" s="109">
        <f t="shared" si="18"/>
        <v>1.2001967592592591E-3</v>
      </c>
      <c r="G22" s="109">
        <f t="shared" si="19"/>
        <v>1.2358757716049384E-3</v>
      </c>
      <c r="H22" s="108">
        <v>110</v>
      </c>
      <c r="I22" s="108">
        <v>150</v>
      </c>
      <c r="J22" s="108"/>
      <c r="K22" s="109">
        <f>'Performance Times'!$B$25</f>
        <v>1.173900462962963E-3</v>
      </c>
      <c r="L22" s="109">
        <f>'Performance Times'!$H$25</f>
        <v>1.2001967592592591E-3</v>
      </c>
      <c r="M22" s="109">
        <f>'Performance Times'!$N$25</f>
        <v>1.2358757716049384E-3</v>
      </c>
      <c r="N22" s="108"/>
      <c r="O22" s="108"/>
      <c r="P22" s="108"/>
      <c r="S22" s="85" t="s">
        <v>82</v>
      </c>
      <c r="T22" s="86">
        <v>4.1515046296296292E-4</v>
      </c>
      <c r="U22" s="87">
        <f t="shared" si="16"/>
        <v>5.575845437564471</v>
      </c>
      <c r="V22" s="88">
        <f t="shared" si="8"/>
        <v>4.5</v>
      </c>
      <c r="W22" s="88">
        <f t="shared" si="5"/>
        <v>16.2</v>
      </c>
      <c r="X22" s="88">
        <f t="shared" si="9"/>
        <v>6.5</v>
      </c>
      <c r="Y22" s="88">
        <f t="shared" si="5"/>
        <v>23.400000000000002</v>
      </c>
      <c r="Z22" s="89">
        <v>120</v>
      </c>
      <c r="AA22" s="89">
        <v>160</v>
      </c>
      <c r="AE22" s="2" t="s">
        <v>77</v>
      </c>
    </row>
    <row r="23" spans="1:31" ht="11.85" customHeight="1" x14ac:dyDescent="0.3">
      <c r="A23" s="106" t="s">
        <v>224</v>
      </c>
      <c r="B23" s="106" t="s">
        <v>27</v>
      </c>
      <c r="C23" s="107">
        <v>500</v>
      </c>
      <c r="D23" s="108" t="str">
        <f t="shared" si="4"/>
        <v>W_K4_500</v>
      </c>
      <c r="E23" s="109">
        <f t="shared" si="17"/>
        <v>1.0572986111111109E-3</v>
      </c>
      <c r="F23" s="109">
        <f t="shared" si="18"/>
        <v>1.0880709876543212E-3</v>
      </c>
      <c r="G23" s="109">
        <f t="shared" si="19"/>
        <v>1.1213194444444445E-3</v>
      </c>
      <c r="H23" s="108">
        <v>100</v>
      </c>
      <c r="I23" s="108">
        <v>150</v>
      </c>
      <c r="J23" s="108"/>
      <c r="K23" s="109">
        <f>'Performance Times'!$B$27</f>
        <v>1.0572986111111109E-3</v>
      </c>
      <c r="L23" s="109">
        <f>'Performance Times'!$H$27</f>
        <v>1.0880709876543212E-3</v>
      </c>
      <c r="M23" s="109">
        <f>'Performance Times'!$N$27</f>
        <v>1.1213194444444445E-3</v>
      </c>
      <c r="N23" s="108"/>
      <c r="O23" s="108"/>
      <c r="P23" s="108"/>
      <c r="S23" s="85" t="s">
        <v>84</v>
      </c>
      <c r="T23" s="86">
        <v>4.4140046296296305E-4</v>
      </c>
      <c r="U23" s="87">
        <f t="shared" si="16"/>
        <v>5.2442509898523735</v>
      </c>
      <c r="V23" s="88">
        <f t="shared" si="8"/>
        <v>4</v>
      </c>
      <c r="W23" s="88">
        <f t="shared" si="5"/>
        <v>14.4</v>
      </c>
      <c r="X23" s="88">
        <f t="shared" si="9"/>
        <v>6</v>
      </c>
      <c r="Y23" s="88">
        <f t="shared" si="5"/>
        <v>21.6</v>
      </c>
      <c r="Z23" s="89">
        <v>80</v>
      </c>
      <c r="AA23" s="89">
        <v>120</v>
      </c>
      <c r="AC23" s="3"/>
      <c r="AE23" s="2" t="s">
        <v>79</v>
      </c>
    </row>
    <row r="24" spans="1:31" ht="11.85" customHeight="1" x14ac:dyDescent="0.3">
      <c r="A24" s="106" t="s">
        <v>224</v>
      </c>
      <c r="B24" s="106" t="s">
        <v>12</v>
      </c>
      <c r="C24" s="107">
        <v>200</v>
      </c>
      <c r="D24" s="108" t="str">
        <f t="shared" si="4"/>
        <v>W_K1_200</v>
      </c>
      <c r="E24" s="109">
        <f t="shared" si="17"/>
        <v>4.5527777777777786E-4</v>
      </c>
      <c r="F24" s="109">
        <f t="shared" si="18"/>
        <v>4.6501929012345678E-4</v>
      </c>
      <c r="G24" s="109">
        <f t="shared" si="19"/>
        <v>4.8180844907407412E-4</v>
      </c>
      <c r="H24" s="108">
        <v>120</v>
      </c>
      <c r="I24" s="108">
        <v>160</v>
      </c>
      <c r="J24" s="108"/>
      <c r="K24" s="109">
        <f>'Performance Times'!$B$33</f>
        <v>4.5527777777777786E-4</v>
      </c>
      <c r="L24" s="109">
        <f>'Performance Times'!$H$33</f>
        <v>4.6501929012345678E-4</v>
      </c>
      <c r="M24" s="109">
        <f>'Performance Times'!$N$33</f>
        <v>4.8180844907407412E-4</v>
      </c>
      <c r="N24" s="108"/>
      <c r="O24" s="108"/>
      <c r="P24" s="108"/>
      <c r="S24" s="85" t="s">
        <v>90</v>
      </c>
      <c r="T24" s="86">
        <v>4.0914351851851854E-4</v>
      </c>
      <c r="U24" s="87">
        <f t="shared" si="16"/>
        <v>5.6577086280056577</v>
      </c>
      <c r="V24" s="88">
        <f t="shared" si="8"/>
        <v>4.5</v>
      </c>
      <c r="W24" s="88">
        <f t="shared" si="5"/>
        <v>16.2</v>
      </c>
      <c r="X24" s="88">
        <f t="shared" si="9"/>
        <v>6.5</v>
      </c>
      <c r="Y24" s="88">
        <f t="shared" si="5"/>
        <v>23.400000000000002</v>
      </c>
      <c r="Z24" s="89">
        <v>80</v>
      </c>
      <c r="AA24" s="89">
        <v>120</v>
      </c>
      <c r="AC24" s="3"/>
      <c r="AE24" s="2" t="s">
        <v>81</v>
      </c>
    </row>
    <row r="25" spans="1:31" ht="11.85" customHeight="1" x14ac:dyDescent="0.3">
      <c r="A25" s="106" t="s">
        <v>224</v>
      </c>
      <c r="B25" s="106" t="s">
        <v>222</v>
      </c>
      <c r="C25" s="107">
        <v>200</v>
      </c>
      <c r="D25" s="108" t="str">
        <f t="shared" si="4"/>
        <v>W_K2_200</v>
      </c>
      <c r="E25" s="109">
        <v>4.1515046296296292E-4</v>
      </c>
      <c r="F25" s="109">
        <f t="shared" si="6"/>
        <v>4.5666550925925925E-4</v>
      </c>
      <c r="G25" s="109">
        <f t="shared" si="7"/>
        <v>6.2272569444444441E-4</v>
      </c>
      <c r="H25" s="108">
        <v>120</v>
      </c>
      <c r="I25" s="108">
        <v>160</v>
      </c>
      <c r="J25" s="108"/>
      <c r="K25" s="108"/>
      <c r="L25" s="108"/>
      <c r="M25" s="108"/>
      <c r="N25" s="108"/>
      <c r="O25" s="108"/>
      <c r="P25" s="108"/>
      <c r="S25" s="85" t="s">
        <v>91</v>
      </c>
      <c r="T25" s="86">
        <v>5.3725694444444448E-4</v>
      </c>
      <c r="U25" s="87">
        <f t="shared" si="16"/>
        <v>4.308580538141709</v>
      </c>
      <c r="V25" s="88">
        <f t="shared" si="8"/>
        <v>3</v>
      </c>
      <c r="W25" s="88">
        <f t="shared" si="5"/>
        <v>10.8</v>
      </c>
      <c r="X25" s="88">
        <f t="shared" si="9"/>
        <v>5</v>
      </c>
      <c r="Y25" s="88">
        <f t="shared" si="5"/>
        <v>18</v>
      </c>
      <c r="Z25" s="89">
        <v>80</v>
      </c>
      <c r="AA25" s="89">
        <v>120</v>
      </c>
      <c r="AC25" s="3"/>
      <c r="AE25" s="2" t="s">
        <v>83</v>
      </c>
    </row>
    <row r="26" spans="1:31" ht="11.85" customHeight="1" x14ac:dyDescent="0.3">
      <c r="A26" s="106" t="s">
        <v>224</v>
      </c>
      <c r="B26" s="106" t="s">
        <v>27</v>
      </c>
      <c r="C26" s="107">
        <v>200</v>
      </c>
      <c r="D26" s="108" t="str">
        <f t="shared" si="4"/>
        <v>W_K4_200</v>
      </c>
      <c r="E26" s="108"/>
      <c r="F26" s="109">
        <f t="shared" si="6"/>
        <v>0</v>
      </c>
      <c r="G26" s="109">
        <f t="shared" si="7"/>
        <v>0</v>
      </c>
      <c r="H26" s="108">
        <v>120</v>
      </c>
      <c r="I26" s="108">
        <v>160</v>
      </c>
      <c r="J26" s="108"/>
      <c r="K26" s="108"/>
      <c r="L26" s="108"/>
      <c r="M26" s="108"/>
      <c r="N26" s="108"/>
      <c r="O26" s="108"/>
      <c r="P26" s="108"/>
      <c r="S26" s="85" t="s">
        <v>92</v>
      </c>
      <c r="T26" s="86">
        <v>5.1185185185185177E-4</v>
      </c>
      <c r="U26" s="87">
        <f t="shared" si="16"/>
        <v>4.5224312590448639</v>
      </c>
      <c r="V26" s="88">
        <f t="shared" si="8"/>
        <v>3.5</v>
      </c>
      <c r="W26" s="88">
        <f t="shared" si="5"/>
        <v>12.6</v>
      </c>
      <c r="X26" s="88">
        <f t="shared" si="9"/>
        <v>5.5</v>
      </c>
      <c r="Y26" s="88">
        <f t="shared" si="5"/>
        <v>19.8</v>
      </c>
      <c r="Z26" s="89">
        <v>80</v>
      </c>
      <c r="AA26" s="89">
        <v>120</v>
      </c>
      <c r="AE26" s="2" t="s">
        <v>85</v>
      </c>
    </row>
    <row r="27" spans="1:31" ht="11.85" customHeight="1" x14ac:dyDescent="0.3">
      <c r="A27" s="106" t="s">
        <v>224</v>
      </c>
      <c r="B27" s="106" t="s">
        <v>48</v>
      </c>
      <c r="C27" s="107">
        <v>1000</v>
      </c>
      <c r="D27" s="108" t="str">
        <f t="shared" si="4"/>
        <v>W_C1_1000</v>
      </c>
      <c r="E27" s="108"/>
      <c r="F27" s="109">
        <f t="shared" si="6"/>
        <v>0</v>
      </c>
      <c r="G27" s="109">
        <f t="shared" si="7"/>
        <v>0</v>
      </c>
      <c r="H27" s="108">
        <v>60</v>
      </c>
      <c r="I27" s="108">
        <v>40</v>
      </c>
      <c r="J27" s="108"/>
      <c r="K27" s="109"/>
      <c r="L27" s="109"/>
      <c r="M27" s="109"/>
      <c r="N27" s="108"/>
      <c r="O27" s="108"/>
      <c r="P27" s="108"/>
      <c r="S27" s="90" t="s">
        <v>156</v>
      </c>
      <c r="T27" s="91">
        <v>4.473611111111111E-4</v>
      </c>
      <c r="U27" s="92">
        <f t="shared" si="16"/>
        <v>5.1743764876332401</v>
      </c>
      <c r="V27" s="93">
        <f t="shared" si="8"/>
        <v>4</v>
      </c>
      <c r="W27" s="93">
        <f t="shared" si="5"/>
        <v>14.4</v>
      </c>
      <c r="X27" s="93">
        <f t="shared" si="9"/>
        <v>6</v>
      </c>
      <c r="Y27" s="93">
        <f t="shared" si="5"/>
        <v>21.6</v>
      </c>
      <c r="Z27" s="94">
        <v>100</v>
      </c>
      <c r="AA27" s="94">
        <v>140</v>
      </c>
    </row>
    <row r="28" spans="1:31" ht="11.85" customHeight="1" x14ac:dyDescent="0.3">
      <c r="A28" s="106" t="s">
        <v>224</v>
      </c>
      <c r="B28" s="106" t="s">
        <v>53</v>
      </c>
      <c r="C28" s="107">
        <v>1000</v>
      </c>
      <c r="D28" s="108" t="str">
        <f t="shared" si="4"/>
        <v>W_C2_1000</v>
      </c>
      <c r="E28" s="108"/>
      <c r="F28" s="109">
        <f t="shared" si="6"/>
        <v>0</v>
      </c>
      <c r="G28" s="109">
        <f t="shared" si="7"/>
        <v>0</v>
      </c>
      <c r="H28" s="108">
        <v>60</v>
      </c>
      <c r="I28" s="108">
        <v>40</v>
      </c>
      <c r="J28" s="108"/>
      <c r="K28" s="109"/>
      <c r="L28" s="109"/>
      <c r="M28" s="109"/>
      <c r="N28" s="108"/>
      <c r="O28" s="108"/>
      <c r="P28" s="108"/>
      <c r="S28" s="90" t="s">
        <v>157</v>
      </c>
      <c r="T28" s="91">
        <v>4.721064814814815E-4</v>
      </c>
      <c r="U28" s="92">
        <f t="shared" si="16"/>
        <v>4.9031625398381955</v>
      </c>
      <c r="V28" s="93">
        <f t="shared" si="8"/>
        <v>3.5</v>
      </c>
      <c r="W28" s="93">
        <f t="shared" si="5"/>
        <v>12.6</v>
      </c>
      <c r="X28" s="93">
        <f t="shared" si="9"/>
        <v>5.5</v>
      </c>
      <c r="Y28" s="93">
        <f t="shared" si="5"/>
        <v>19.8</v>
      </c>
      <c r="Z28" s="94">
        <v>90</v>
      </c>
      <c r="AA28" s="94">
        <v>130</v>
      </c>
    </row>
    <row r="29" spans="1:31" ht="11.85" customHeight="1" x14ac:dyDescent="0.3">
      <c r="A29" s="106" t="s">
        <v>224</v>
      </c>
      <c r="B29" s="106" t="s">
        <v>48</v>
      </c>
      <c r="C29" s="107">
        <v>500</v>
      </c>
      <c r="D29" s="108" t="str">
        <f t="shared" si="4"/>
        <v>W_C1_500</v>
      </c>
      <c r="E29" s="108"/>
      <c r="F29" s="109">
        <f t="shared" si="6"/>
        <v>0</v>
      </c>
      <c r="G29" s="109">
        <f t="shared" si="7"/>
        <v>0</v>
      </c>
      <c r="H29" s="108">
        <v>60</v>
      </c>
      <c r="I29" s="108">
        <v>40</v>
      </c>
      <c r="J29" s="108"/>
      <c r="K29" s="109"/>
      <c r="L29" s="109"/>
      <c r="M29" s="109"/>
      <c r="N29" s="108"/>
      <c r="O29" s="108"/>
      <c r="P29" s="108"/>
      <c r="S29" s="90" t="s">
        <v>158</v>
      </c>
      <c r="T29" s="91">
        <v>5.6954861111111117E-4</v>
      </c>
      <c r="U29" s="92">
        <f t="shared" si="16"/>
        <v>4.0642971814099047</v>
      </c>
      <c r="V29" s="93">
        <f t="shared" si="8"/>
        <v>3</v>
      </c>
      <c r="W29" s="93">
        <f t="shared" si="5"/>
        <v>10.8</v>
      </c>
      <c r="X29" s="93">
        <f t="shared" si="9"/>
        <v>5</v>
      </c>
      <c r="Y29" s="93">
        <f t="shared" si="5"/>
        <v>18</v>
      </c>
      <c r="Z29" s="94">
        <v>100</v>
      </c>
      <c r="AA29" s="94">
        <v>140</v>
      </c>
    </row>
    <row r="30" spans="1:31" ht="11.85" customHeight="1" x14ac:dyDescent="0.3">
      <c r="A30" s="106" t="s">
        <v>224</v>
      </c>
      <c r="B30" s="106" t="s">
        <v>53</v>
      </c>
      <c r="C30" s="107">
        <v>500</v>
      </c>
      <c r="D30" s="108" t="str">
        <f t="shared" si="4"/>
        <v>W_C2_500</v>
      </c>
      <c r="E30" s="109">
        <f t="shared" ref="E30:E31" si="20">K30</f>
        <v>1.4152430555555557E-3</v>
      </c>
      <c r="F30" s="109">
        <f t="shared" ref="F30:F31" si="21">L30</f>
        <v>5.1185185185185177E-4</v>
      </c>
      <c r="G30" s="109">
        <f t="shared" ref="G30:G31" si="22">M30</f>
        <v>5.2953703703703702E-4</v>
      </c>
      <c r="H30" s="108">
        <v>60</v>
      </c>
      <c r="I30" s="108">
        <v>40</v>
      </c>
      <c r="J30" s="108"/>
      <c r="K30" s="109">
        <f>'Performance Times'!$B$31</f>
        <v>1.4152430555555557E-3</v>
      </c>
      <c r="L30" s="109">
        <f>'Performance Times'!$H$31</f>
        <v>5.1185185185185177E-4</v>
      </c>
      <c r="M30" s="109">
        <f>'Performance Times'!$N$31</f>
        <v>5.2953703703703702E-4</v>
      </c>
      <c r="N30" s="108"/>
      <c r="O30" s="108"/>
      <c r="P30" s="108"/>
      <c r="S30" s="90" t="s">
        <v>161</v>
      </c>
      <c r="T30" s="91">
        <v>5.7523148148148147E-4</v>
      </c>
      <c r="U30" s="92">
        <f t="shared" si="16"/>
        <v>4.0241448692152924</v>
      </c>
      <c r="V30" s="93">
        <f t="shared" si="8"/>
        <v>3</v>
      </c>
      <c r="W30" s="93">
        <f t="shared" si="5"/>
        <v>10.8</v>
      </c>
      <c r="X30" s="93">
        <f t="shared" si="9"/>
        <v>5</v>
      </c>
      <c r="Y30" s="93">
        <f t="shared" si="5"/>
        <v>18</v>
      </c>
      <c r="Z30" s="94">
        <v>90</v>
      </c>
      <c r="AA30" s="94">
        <v>130</v>
      </c>
    </row>
    <row r="31" spans="1:31" ht="11.85" customHeight="1" x14ac:dyDescent="0.3">
      <c r="A31" s="106" t="s">
        <v>224</v>
      </c>
      <c r="B31" s="106" t="s">
        <v>48</v>
      </c>
      <c r="C31" s="107">
        <v>200</v>
      </c>
      <c r="D31" s="108" t="str">
        <f t="shared" si="4"/>
        <v>W_C1_200</v>
      </c>
      <c r="E31" s="109">
        <f t="shared" si="20"/>
        <v>5.5055555555555554E-4</v>
      </c>
      <c r="F31" s="109">
        <f t="shared" si="21"/>
        <v>5.5175636574074079E-4</v>
      </c>
      <c r="G31" s="109">
        <f t="shared" si="22"/>
        <v>5.6587094907407411E-4</v>
      </c>
      <c r="H31" s="108">
        <v>80</v>
      </c>
      <c r="I31" s="108">
        <v>120</v>
      </c>
      <c r="J31" s="108"/>
      <c r="K31" s="109">
        <f>'Performance Times'!$B$29</f>
        <v>5.5055555555555554E-4</v>
      </c>
      <c r="L31" s="109">
        <f>'Performance Times'!$H$29</f>
        <v>5.5175636574074079E-4</v>
      </c>
      <c r="M31" s="109">
        <f>'Performance Times'!$N$29</f>
        <v>5.6587094907407411E-4</v>
      </c>
      <c r="N31" s="108"/>
      <c r="O31" s="108"/>
      <c r="P31" s="108"/>
      <c r="S31" s="90" t="s">
        <v>160</v>
      </c>
      <c r="T31" s="91">
        <v>5.9833333333333331E-4</v>
      </c>
      <c r="U31" s="92">
        <f t="shared" si="16"/>
        <v>3.8687712782420305</v>
      </c>
      <c r="V31" s="93">
        <f t="shared" si="8"/>
        <v>2.5</v>
      </c>
      <c r="W31" s="93">
        <f t="shared" si="5"/>
        <v>9</v>
      </c>
      <c r="X31" s="93">
        <f t="shared" si="9"/>
        <v>4.5</v>
      </c>
      <c r="Y31" s="93">
        <f t="shared" si="5"/>
        <v>16.2</v>
      </c>
      <c r="Z31" s="94">
        <v>100</v>
      </c>
      <c r="AA31" s="94">
        <v>140</v>
      </c>
    </row>
    <row r="32" spans="1:31" ht="11.85" customHeight="1" x14ac:dyDescent="0.3">
      <c r="A32" s="106" t="s">
        <v>224</v>
      </c>
      <c r="B32" s="106" t="s">
        <v>53</v>
      </c>
      <c r="C32" s="107">
        <v>200</v>
      </c>
      <c r="D32" s="108" t="str">
        <f t="shared" si="4"/>
        <v>W_C2_200</v>
      </c>
      <c r="E32" s="109">
        <v>5.1185185185185177E-4</v>
      </c>
      <c r="F32" s="109">
        <f t="shared" si="6"/>
        <v>5.6303703703703702E-4</v>
      </c>
      <c r="G32" s="109">
        <f t="shared" si="7"/>
        <v>7.677777777777776E-4</v>
      </c>
      <c r="H32" s="108">
        <v>8</v>
      </c>
      <c r="I32" s="108">
        <v>120</v>
      </c>
      <c r="J32" s="108"/>
      <c r="K32" s="109"/>
      <c r="L32" s="108"/>
      <c r="M32" s="108"/>
      <c r="N32" s="108"/>
      <c r="O32" s="108"/>
      <c r="P32" s="108"/>
      <c r="S32" s="90" t="s">
        <v>159</v>
      </c>
      <c r="T32" s="91">
        <v>6.3606481481481489E-4</v>
      </c>
      <c r="U32" s="92">
        <f t="shared" si="16"/>
        <v>3.639275056408763</v>
      </c>
      <c r="V32" s="93">
        <f t="shared" si="8"/>
        <v>2.5</v>
      </c>
      <c r="W32" s="93">
        <f t="shared" si="5"/>
        <v>9</v>
      </c>
      <c r="X32" s="93">
        <f t="shared" si="9"/>
        <v>4.5</v>
      </c>
      <c r="Y32" s="93">
        <f t="shared" si="5"/>
        <v>16.2</v>
      </c>
      <c r="Z32" s="94">
        <v>70</v>
      </c>
      <c r="AA32" s="94">
        <v>110</v>
      </c>
    </row>
    <row r="33" spans="19:27" ht="11.85" customHeight="1" x14ac:dyDescent="0.3">
      <c r="S33" s="95" t="s">
        <v>162</v>
      </c>
      <c r="T33" s="91">
        <v>5.8296296296296297E-4</v>
      </c>
      <c r="U33" s="92">
        <f t="shared" si="16"/>
        <v>3.9707750952986021</v>
      </c>
      <c r="V33" s="93">
        <f t="shared" si="8"/>
        <v>2.5</v>
      </c>
      <c r="W33" s="93">
        <f t="shared" si="5"/>
        <v>9</v>
      </c>
      <c r="X33" s="93">
        <f t="shared" si="9"/>
        <v>4.5</v>
      </c>
      <c r="Y33" s="93">
        <f t="shared" si="5"/>
        <v>16.2</v>
      </c>
      <c r="Z33" s="94">
        <v>80</v>
      </c>
      <c r="AA33" s="94">
        <v>120</v>
      </c>
    </row>
    <row r="34" spans="19:27" ht="11.85" customHeight="1" x14ac:dyDescent="0.3">
      <c r="S34" s="95" t="s">
        <v>163</v>
      </c>
      <c r="T34" s="91">
        <v>5.6245370370370368E-4</v>
      </c>
      <c r="U34" s="92">
        <f t="shared" si="16"/>
        <v>4.1155650670837112</v>
      </c>
      <c r="V34" s="93">
        <f t="shared" si="8"/>
        <v>3</v>
      </c>
      <c r="W34" s="93">
        <f t="shared" si="5"/>
        <v>10.8</v>
      </c>
      <c r="X34" s="93">
        <f t="shared" si="9"/>
        <v>5</v>
      </c>
      <c r="Y34" s="93">
        <f t="shared" si="5"/>
        <v>18</v>
      </c>
      <c r="Z34" s="94">
        <v>80</v>
      </c>
      <c r="AA34" s="94">
        <v>120</v>
      </c>
    </row>
    <row r="35" spans="19:27" ht="11.85" customHeight="1" x14ac:dyDescent="0.3">
      <c r="S35" s="95" t="s">
        <v>164</v>
      </c>
      <c r="T35" s="91">
        <v>6.3592592592592596E-4</v>
      </c>
      <c r="U35" s="92">
        <f t="shared" si="16"/>
        <v>3.6400698893418753</v>
      </c>
      <c r="V35" s="93">
        <f t="shared" si="8"/>
        <v>2.5</v>
      </c>
      <c r="W35" s="93">
        <f t="shared" si="5"/>
        <v>9</v>
      </c>
      <c r="X35" s="93">
        <f t="shared" si="9"/>
        <v>4.5</v>
      </c>
      <c r="Y35" s="93">
        <f t="shared" si="5"/>
        <v>16.2</v>
      </c>
      <c r="Z35" s="94">
        <v>80</v>
      </c>
      <c r="AA35" s="94">
        <v>120</v>
      </c>
    </row>
    <row r="36" spans="19:27" ht="11.85" customHeight="1" x14ac:dyDescent="0.3">
      <c r="S36" s="95" t="s">
        <v>165</v>
      </c>
      <c r="T36" s="91">
        <v>6.7069444444444435E-4</v>
      </c>
      <c r="U36" s="92">
        <f t="shared" si="16"/>
        <v>3.4513701939670054</v>
      </c>
      <c r="V36" s="93">
        <f t="shared" si="8"/>
        <v>2</v>
      </c>
      <c r="W36" s="93">
        <f t="shared" si="5"/>
        <v>7.2</v>
      </c>
      <c r="X36" s="93">
        <f t="shared" si="9"/>
        <v>4</v>
      </c>
      <c r="Y36" s="93">
        <f t="shared" si="5"/>
        <v>14.4</v>
      </c>
      <c r="Z36" s="94">
        <v>80</v>
      </c>
      <c r="AA36" s="94">
        <v>120</v>
      </c>
    </row>
    <row r="37" spans="19:27" ht="11.85" customHeight="1" x14ac:dyDescent="0.3">
      <c r="S37" s="95" t="s">
        <v>166</v>
      </c>
      <c r="T37" s="91">
        <v>6.9347222222222217E-4</v>
      </c>
      <c r="U37" s="92">
        <f t="shared" si="16"/>
        <v>3.3380065424928236</v>
      </c>
      <c r="V37" s="93">
        <f t="shared" si="8"/>
        <v>2</v>
      </c>
      <c r="W37" s="93">
        <f t="shared" si="5"/>
        <v>7.2</v>
      </c>
      <c r="X37" s="93">
        <f t="shared" si="9"/>
        <v>4</v>
      </c>
      <c r="Y37" s="93">
        <f t="shared" si="5"/>
        <v>14.4</v>
      </c>
      <c r="Z37" s="94">
        <v>80</v>
      </c>
      <c r="AA37" s="94">
        <v>120</v>
      </c>
    </row>
    <row r="38" spans="19:27" ht="11.85" customHeight="1" x14ac:dyDescent="0.3">
      <c r="S38" s="95" t="s">
        <v>167</v>
      </c>
      <c r="T38" s="91">
        <v>6.9629629629629631E-4</v>
      </c>
      <c r="U38" s="92">
        <f t="shared" si="16"/>
        <v>3.3244680851063828</v>
      </c>
      <c r="V38" s="93">
        <f t="shared" si="8"/>
        <v>2</v>
      </c>
      <c r="W38" s="93">
        <f t="shared" si="5"/>
        <v>7.2</v>
      </c>
      <c r="X38" s="93">
        <f t="shared" si="9"/>
        <v>4</v>
      </c>
      <c r="Y38" s="93">
        <f t="shared" si="5"/>
        <v>14.4</v>
      </c>
      <c r="Z38" s="94">
        <v>80</v>
      </c>
      <c r="AA38" s="94">
        <v>120</v>
      </c>
    </row>
    <row r="39" spans="19:27" ht="11.85" customHeight="1" x14ac:dyDescent="0.2"/>
  </sheetData>
  <sortState xmlns:xlrd2="http://schemas.microsoft.com/office/spreadsheetml/2017/richdata2" ref="AE2:AE26">
    <sortCondition ref="AE2"/>
  </sortState>
  <pageMargins left="0.75" right="0.75" top="1" bottom="1" header="0.5" footer="0.5"/>
  <pageSetup paperSize="9" orientation="portrait" horizontalDpi="0" verticalDpi="0" r:id="rId1"/>
  <headerFooter alignWithMargins="0"/>
  <ignoredErrors>
    <ignoredError sqref="F8:G8" formula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5" tint="0.39997558519241921"/>
  </sheetPr>
  <dimension ref="B1:L41"/>
  <sheetViews>
    <sheetView workbookViewId="0">
      <selection activeCell="B8" sqref="B8:J8"/>
    </sheetView>
  </sheetViews>
  <sheetFormatPr defaultRowHeight="14.4" x14ac:dyDescent="0.3"/>
  <cols>
    <col min="1" max="1" width="4" customWidth="1"/>
    <col min="3" max="3" width="3.5546875" customWidth="1"/>
    <col min="5" max="5" width="3" customWidth="1"/>
    <col min="7" max="7" width="4.109375" customWidth="1"/>
    <col min="10" max="10" width="3.109375" customWidth="1"/>
  </cols>
  <sheetData>
    <row r="1" spans="2:12" x14ac:dyDescent="0.3">
      <c r="B1" s="53" t="s">
        <v>192</v>
      </c>
    </row>
    <row r="2" spans="2:12" ht="15" thickBot="1" x14ac:dyDescent="0.35"/>
    <row r="3" spans="2:12" ht="15.6" thickTop="1" thickBot="1" x14ac:dyDescent="0.35">
      <c r="B3" s="358" t="s">
        <v>199</v>
      </c>
      <c r="C3" s="359"/>
      <c r="D3" s="359"/>
      <c r="E3" s="76"/>
      <c r="F3" s="58"/>
      <c r="G3" s="58"/>
      <c r="H3" s="58"/>
      <c r="I3" s="58"/>
      <c r="J3" s="58"/>
      <c r="K3" s="58"/>
      <c r="L3" s="58"/>
    </row>
    <row r="4" spans="2:12" ht="15.6" thickTop="1" thickBot="1" x14ac:dyDescent="0.35">
      <c r="B4" s="360"/>
      <c r="C4" s="361"/>
      <c r="D4" s="362"/>
      <c r="E4" s="61"/>
      <c r="F4" s="61"/>
      <c r="G4" s="61"/>
      <c r="H4" s="61"/>
      <c r="I4" s="61"/>
      <c r="J4" s="62"/>
      <c r="K4" s="58"/>
      <c r="L4" s="58"/>
    </row>
    <row r="5" spans="2:12" ht="15" thickTop="1" x14ac:dyDescent="0.3">
      <c r="B5" s="355" t="s">
        <v>200</v>
      </c>
      <c r="C5" s="356"/>
      <c r="D5" s="356"/>
      <c r="E5" s="356"/>
      <c r="F5" s="356"/>
      <c r="G5" s="356"/>
      <c r="H5" s="356"/>
      <c r="I5" s="356"/>
      <c r="J5" s="357"/>
      <c r="K5" s="58"/>
      <c r="L5" s="58"/>
    </row>
    <row r="6" spans="2:12" x14ac:dyDescent="0.3">
      <c r="B6" s="345" t="s">
        <v>193</v>
      </c>
      <c r="C6" s="346"/>
      <c r="D6" s="64">
        <v>24.1</v>
      </c>
      <c r="E6" s="63"/>
      <c r="F6" s="346" t="s">
        <v>194</v>
      </c>
      <c r="G6" s="346"/>
      <c r="H6" s="64">
        <v>72</v>
      </c>
      <c r="I6" s="65"/>
      <c r="J6" s="66"/>
      <c r="K6" s="59"/>
      <c r="L6" s="59"/>
    </row>
    <row r="7" spans="2:12" x14ac:dyDescent="0.3">
      <c r="B7" s="72"/>
      <c r="C7" s="67"/>
      <c r="D7" s="67"/>
      <c r="E7" s="63"/>
      <c r="F7" s="65"/>
      <c r="G7" s="65"/>
      <c r="H7" s="65"/>
      <c r="I7" s="65"/>
      <c r="J7" s="66"/>
      <c r="K7" s="59"/>
      <c r="L7" s="59"/>
    </row>
    <row r="8" spans="2:12" x14ac:dyDescent="0.3">
      <c r="B8" s="342" t="s">
        <v>195</v>
      </c>
      <c r="C8" s="343"/>
      <c r="D8" s="343"/>
      <c r="E8" s="343"/>
      <c r="F8" s="343"/>
      <c r="G8" s="343"/>
      <c r="H8" s="343"/>
      <c r="I8" s="343"/>
      <c r="J8" s="344"/>
      <c r="K8" s="59"/>
      <c r="L8" s="59"/>
    </row>
    <row r="9" spans="2:12" x14ac:dyDescent="0.3">
      <c r="B9" s="345" t="s">
        <v>196</v>
      </c>
      <c r="C9" s="346"/>
      <c r="D9" s="64">
        <v>0</v>
      </c>
      <c r="E9" s="63"/>
      <c r="F9" s="346" t="s">
        <v>197</v>
      </c>
      <c r="G9" s="346">
        <v>1</v>
      </c>
      <c r="H9" t="s">
        <v>358</v>
      </c>
      <c r="I9" s="63"/>
      <c r="J9" s="66"/>
      <c r="L9" s="59"/>
    </row>
    <row r="10" spans="2:12" x14ac:dyDescent="0.3">
      <c r="B10" s="72"/>
      <c r="C10" s="67"/>
      <c r="D10" s="67"/>
      <c r="E10" s="67"/>
      <c r="F10" s="65"/>
      <c r="G10" s="65"/>
      <c r="H10" s="65"/>
      <c r="I10" s="65"/>
      <c r="J10" s="66"/>
      <c r="L10" s="59"/>
    </row>
    <row r="11" spans="2:12" x14ac:dyDescent="0.3">
      <c r="B11" s="73"/>
      <c r="C11" s="65"/>
      <c r="D11" s="63"/>
      <c r="E11" s="65"/>
      <c r="F11" s="65"/>
      <c r="G11" s="65"/>
      <c r="H11" s="65"/>
      <c r="I11" s="65"/>
      <c r="J11" s="66"/>
      <c r="L11" s="59"/>
    </row>
    <row r="12" spans="2:12" x14ac:dyDescent="0.3">
      <c r="B12" s="347" t="s">
        <v>198</v>
      </c>
      <c r="C12" s="348"/>
      <c r="D12" s="348"/>
      <c r="E12" s="348"/>
      <c r="F12" s="348"/>
      <c r="G12" s="348"/>
      <c r="H12" s="348"/>
      <c r="I12" s="348"/>
      <c r="J12" s="349"/>
      <c r="L12" s="59"/>
    </row>
    <row r="13" spans="2:12" x14ac:dyDescent="0.3">
      <c r="B13" s="345" t="s">
        <v>193</v>
      </c>
      <c r="C13" s="346"/>
      <c r="D13" s="64"/>
      <c r="E13" s="65"/>
      <c r="F13" s="68" t="s">
        <v>201</v>
      </c>
      <c r="G13" s="68"/>
      <c r="H13" t="s">
        <v>19</v>
      </c>
      <c r="I13" s="65"/>
      <c r="J13" s="66"/>
      <c r="L13" s="59"/>
    </row>
    <row r="14" spans="2:12" ht="15" thickBot="1" x14ac:dyDescent="0.35">
      <c r="B14" s="74"/>
      <c r="C14" s="75"/>
      <c r="D14" s="75"/>
      <c r="E14" s="69"/>
      <c r="F14" s="70"/>
      <c r="G14" s="70"/>
      <c r="H14" s="70"/>
      <c r="I14" s="70"/>
      <c r="J14" s="71"/>
      <c r="L14" s="59"/>
    </row>
    <row r="15" spans="2:12" ht="15.6" thickTop="1" thickBot="1" x14ac:dyDescent="0.35">
      <c r="B15" s="60"/>
      <c r="C15" s="60"/>
      <c r="D15" s="58"/>
      <c r="E15" s="59"/>
      <c r="F15" s="59"/>
      <c r="G15" s="59"/>
      <c r="H15" s="59"/>
      <c r="I15" s="59"/>
      <c r="J15" s="59"/>
      <c r="K15" s="59"/>
      <c r="L15" s="59"/>
    </row>
    <row r="16" spans="2:12" ht="15.6" thickTop="1" thickBot="1" x14ac:dyDescent="0.35">
      <c r="B16" s="363" t="s">
        <v>206</v>
      </c>
      <c r="C16" s="364"/>
      <c r="D16" s="364"/>
      <c r="E16" s="76"/>
      <c r="F16" s="58"/>
      <c r="G16" s="58"/>
      <c r="H16" s="58"/>
      <c r="I16" s="58"/>
      <c r="J16" s="58"/>
      <c r="K16" s="58"/>
      <c r="L16" s="58"/>
    </row>
    <row r="17" spans="2:12" ht="15.6" thickTop="1" thickBot="1" x14ac:dyDescent="0.35">
      <c r="B17" s="365"/>
      <c r="C17" s="366"/>
      <c r="D17" s="367"/>
      <c r="E17" s="61"/>
      <c r="F17" s="61"/>
      <c r="G17" s="61"/>
      <c r="H17" s="61"/>
      <c r="I17" s="61"/>
      <c r="J17" s="62"/>
      <c r="K17" s="58"/>
      <c r="L17" s="58"/>
    </row>
    <row r="18" spans="2:12" ht="15" thickTop="1" x14ac:dyDescent="0.3">
      <c r="B18" s="355" t="s">
        <v>200</v>
      </c>
      <c r="C18" s="356"/>
      <c r="D18" s="356"/>
      <c r="E18" s="356"/>
      <c r="F18" s="356"/>
      <c r="G18" s="356"/>
      <c r="H18" s="356"/>
      <c r="I18" s="356"/>
      <c r="J18" s="357"/>
      <c r="K18" s="58"/>
      <c r="L18" s="58"/>
    </row>
    <row r="19" spans="2:12" x14ac:dyDescent="0.3">
      <c r="B19" s="345" t="s">
        <v>193</v>
      </c>
      <c r="C19" s="346"/>
      <c r="D19" s="64"/>
      <c r="E19" s="63"/>
      <c r="F19" s="346" t="s">
        <v>194</v>
      </c>
      <c r="G19" s="346"/>
      <c r="H19" s="64"/>
      <c r="I19" s="65"/>
      <c r="J19" s="66"/>
      <c r="K19" s="59"/>
      <c r="L19" s="59"/>
    </row>
    <row r="20" spans="2:12" x14ac:dyDescent="0.3">
      <c r="B20" s="72"/>
      <c r="C20" s="67"/>
      <c r="D20" s="67"/>
      <c r="E20" s="63"/>
      <c r="F20" s="65"/>
      <c r="G20" s="65"/>
      <c r="H20" s="65"/>
      <c r="I20" s="65"/>
      <c r="J20" s="66"/>
      <c r="K20" s="59"/>
      <c r="L20" s="59"/>
    </row>
    <row r="21" spans="2:12" x14ac:dyDescent="0.3">
      <c r="B21" s="342" t="s">
        <v>195</v>
      </c>
      <c r="C21" s="343"/>
      <c r="D21" s="343"/>
      <c r="E21" s="343"/>
      <c r="F21" s="343"/>
      <c r="G21" s="343"/>
      <c r="H21" s="343"/>
      <c r="I21" s="343"/>
      <c r="J21" s="344"/>
      <c r="K21" s="59"/>
      <c r="L21" s="59"/>
    </row>
    <row r="22" spans="2:12" x14ac:dyDescent="0.3">
      <c r="B22" s="345" t="s">
        <v>196</v>
      </c>
      <c r="C22" s="346"/>
      <c r="D22" s="64"/>
      <c r="E22" s="63"/>
      <c r="F22" s="346" t="s">
        <v>197</v>
      </c>
      <c r="G22" s="346">
        <v>1</v>
      </c>
      <c r="H22" t="s">
        <v>25</v>
      </c>
      <c r="I22" s="63"/>
      <c r="J22" s="66"/>
      <c r="L22" s="59"/>
    </row>
    <row r="23" spans="2:12" x14ac:dyDescent="0.3">
      <c r="B23" s="72"/>
      <c r="C23" s="67"/>
      <c r="D23" s="67"/>
      <c r="E23" s="67"/>
      <c r="F23" s="65"/>
      <c r="G23" s="65"/>
      <c r="H23" s="65"/>
      <c r="I23" s="65"/>
      <c r="J23" s="66"/>
      <c r="L23" s="59"/>
    </row>
    <row r="24" spans="2:12" x14ac:dyDescent="0.3">
      <c r="B24" s="73"/>
      <c r="C24" s="65"/>
      <c r="D24" s="63"/>
      <c r="E24" s="65"/>
      <c r="F24" s="65"/>
      <c r="G24" s="65"/>
      <c r="H24" s="65"/>
      <c r="I24" s="65"/>
      <c r="J24" s="66"/>
      <c r="L24" s="59"/>
    </row>
    <row r="25" spans="2:12" x14ac:dyDescent="0.3">
      <c r="B25" s="347" t="s">
        <v>198</v>
      </c>
      <c r="C25" s="348"/>
      <c r="D25" s="348"/>
      <c r="E25" s="348"/>
      <c r="F25" s="348"/>
      <c r="G25" s="348"/>
      <c r="H25" s="348"/>
      <c r="I25" s="348"/>
      <c r="J25" s="349"/>
      <c r="L25" s="59"/>
    </row>
    <row r="26" spans="2:12" x14ac:dyDescent="0.3">
      <c r="B26" s="345" t="s">
        <v>193</v>
      </c>
      <c r="C26" s="346"/>
      <c r="D26" s="64"/>
      <c r="E26" s="65"/>
      <c r="F26" s="68" t="s">
        <v>201</v>
      </c>
      <c r="G26" s="68"/>
      <c r="H26" t="s">
        <v>19</v>
      </c>
      <c r="I26" s="65"/>
      <c r="J26" s="66"/>
      <c r="L26" s="59"/>
    </row>
    <row r="27" spans="2:12" ht="15" thickBot="1" x14ac:dyDescent="0.35">
      <c r="B27" s="74"/>
      <c r="C27" s="75"/>
      <c r="D27" s="75"/>
      <c r="E27" s="69"/>
      <c r="F27" s="70"/>
      <c r="G27" s="70"/>
      <c r="H27" s="70"/>
      <c r="I27" s="70"/>
      <c r="J27" s="71"/>
      <c r="L27" s="59"/>
    </row>
    <row r="28" spans="2:12" ht="15.6" thickTop="1" thickBot="1" x14ac:dyDescent="0.35"/>
    <row r="29" spans="2:12" ht="15.6" thickTop="1" thickBot="1" x14ac:dyDescent="0.35">
      <c r="B29" s="350" t="s">
        <v>207</v>
      </c>
      <c r="C29" s="351"/>
      <c r="D29" s="351"/>
      <c r="E29" s="76"/>
      <c r="F29" s="58"/>
      <c r="G29" s="58"/>
      <c r="H29" s="58"/>
      <c r="I29" s="58"/>
      <c r="J29" s="58"/>
      <c r="K29" s="58"/>
      <c r="L29" s="58"/>
    </row>
    <row r="30" spans="2:12" ht="15.6" thickTop="1" thickBot="1" x14ac:dyDescent="0.35">
      <c r="B30" s="352"/>
      <c r="C30" s="353"/>
      <c r="D30" s="354"/>
      <c r="E30" s="61"/>
      <c r="F30" s="61"/>
      <c r="G30" s="61"/>
      <c r="H30" s="61"/>
      <c r="I30" s="61"/>
      <c r="J30" s="62"/>
      <c r="K30" s="58"/>
      <c r="L30" s="58"/>
    </row>
    <row r="31" spans="2:12" ht="15" thickTop="1" x14ac:dyDescent="0.3">
      <c r="B31" s="355" t="s">
        <v>200</v>
      </c>
      <c r="C31" s="356"/>
      <c r="D31" s="356"/>
      <c r="E31" s="356"/>
      <c r="F31" s="356"/>
      <c r="G31" s="356"/>
      <c r="H31" s="356"/>
      <c r="I31" s="356"/>
      <c r="J31" s="357"/>
      <c r="K31" s="58"/>
      <c r="L31" s="58"/>
    </row>
    <row r="32" spans="2:12" x14ac:dyDescent="0.3">
      <c r="B32" s="345" t="s">
        <v>193</v>
      </c>
      <c r="C32" s="346"/>
      <c r="D32" s="64"/>
      <c r="E32" s="63"/>
      <c r="F32" s="346" t="s">
        <v>194</v>
      </c>
      <c r="G32" s="346"/>
      <c r="H32" s="64"/>
      <c r="I32" s="65"/>
      <c r="J32" s="66"/>
      <c r="K32" s="59"/>
      <c r="L32" s="59"/>
    </row>
    <row r="33" spans="2:12" x14ac:dyDescent="0.3">
      <c r="B33" s="72"/>
      <c r="C33" s="67"/>
      <c r="D33" s="67"/>
      <c r="E33" s="63"/>
      <c r="F33" s="65"/>
      <c r="G33" s="65"/>
      <c r="H33" s="65"/>
      <c r="I33" s="65"/>
      <c r="J33" s="66"/>
      <c r="K33" s="59"/>
      <c r="L33" s="59"/>
    </row>
    <row r="34" spans="2:12" x14ac:dyDescent="0.3">
      <c r="B34" s="342" t="s">
        <v>195</v>
      </c>
      <c r="C34" s="343"/>
      <c r="D34" s="343"/>
      <c r="E34" s="343"/>
      <c r="F34" s="343"/>
      <c r="G34" s="343"/>
      <c r="H34" s="343"/>
      <c r="I34" s="343"/>
      <c r="J34" s="344"/>
      <c r="K34" s="59"/>
      <c r="L34" s="59"/>
    </row>
    <row r="35" spans="2:12" x14ac:dyDescent="0.3">
      <c r="B35" s="345" t="s">
        <v>196</v>
      </c>
      <c r="C35" s="346"/>
      <c r="D35" s="64"/>
      <c r="E35" s="63"/>
      <c r="F35" s="346" t="s">
        <v>197</v>
      </c>
      <c r="G35" s="346">
        <v>1</v>
      </c>
      <c r="H35" t="s">
        <v>25</v>
      </c>
      <c r="I35" s="63"/>
      <c r="J35" s="66"/>
      <c r="L35" s="59"/>
    </row>
    <row r="36" spans="2:12" x14ac:dyDescent="0.3">
      <c r="B36" s="72"/>
      <c r="C36" s="67"/>
      <c r="D36" s="67"/>
      <c r="E36" s="67"/>
      <c r="F36" s="65"/>
      <c r="G36" s="65"/>
      <c r="H36" s="65"/>
      <c r="I36" s="65"/>
      <c r="J36" s="66"/>
      <c r="L36" s="59"/>
    </row>
    <row r="37" spans="2:12" x14ac:dyDescent="0.3">
      <c r="B37" s="73"/>
      <c r="C37" s="65"/>
      <c r="D37" s="63"/>
      <c r="E37" s="65"/>
      <c r="F37" s="65"/>
      <c r="G37" s="65"/>
      <c r="H37" s="65"/>
      <c r="I37" s="65"/>
      <c r="J37" s="66"/>
      <c r="L37" s="59"/>
    </row>
    <row r="38" spans="2:12" x14ac:dyDescent="0.3">
      <c r="B38" s="347" t="s">
        <v>198</v>
      </c>
      <c r="C38" s="348"/>
      <c r="D38" s="348"/>
      <c r="E38" s="348"/>
      <c r="F38" s="348"/>
      <c r="G38" s="348"/>
      <c r="H38" s="348"/>
      <c r="I38" s="348"/>
      <c r="J38" s="349"/>
      <c r="L38" s="59"/>
    </row>
    <row r="39" spans="2:12" x14ac:dyDescent="0.3">
      <c r="B39" s="345" t="s">
        <v>193</v>
      </c>
      <c r="C39" s="346"/>
      <c r="D39" s="64"/>
      <c r="E39" s="65"/>
      <c r="F39" s="68" t="s">
        <v>201</v>
      </c>
      <c r="G39" s="68"/>
      <c r="H39" t="s">
        <v>26</v>
      </c>
      <c r="I39" s="65"/>
      <c r="J39" s="66"/>
      <c r="L39" s="59"/>
    </row>
    <row r="40" spans="2:12" ht="15" thickBot="1" x14ac:dyDescent="0.35">
      <c r="B40" s="74"/>
      <c r="C40" s="75"/>
      <c r="D40" s="75"/>
      <c r="E40" s="69"/>
      <c r="F40" s="70"/>
      <c r="G40" s="70"/>
      <c r="H40" s="70"/>
      <c r="I40" s="70"/>
      <c r="J40" s="71"/>
      <c r="L40" s="59"/>
    </row>
    <row r="41" spans="2:12" ht="15" thickTop="1" x14ac:dyDescent="0.3"/>
  </sheetData>
  <dataConsolidate/>
  <mergeCells count="27">
    <mergeCell ref="B3:D4"/>
    <mergeCell ref="B5:J5"/>
    <mergeCell ref="B8:J8"/>
    <mergeCell ref="B12:J12"/>
    <mergeCell ref="B16:D17"/>
    <mergeCell ref="B6:C6"/>
    <mergeCell ref="F6:G6"/>
    <mergeCell ref="B9:C9"/>
    <mergeCell ref="F9:G9"/>
    <mergeCell ref="B13:C13"/>
    <mergeCell ref="B18:J18"/>
    <mergeCell ref="B19:C19"/>
    <mergeCell ref="F19:G19"/>
    <mergeCell ref="B21:J21"/>
    <mergeCell ref="B22:C22"/>
    <mergeCell ref="F22:G22"/>
    <mergeCell ref="B25:J25"/>
    <mergeCell ref="B26:C26"/>
    <mergeCell ref="B29:D30"/>
    <mergeCell ref="B31:J31"/>
    <mergeCell ref="B32:C32"/>
    <mergeCell ref="F32:G32"/>
    <mergeCell ref="B34:J34"/>
    <mergeCell ref="B35:C35"/>
    <mergeCell ref="F35:G35"/>
    <mergeCell ref="B38:J38"/>
    <mergeCell ref="B39:C3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800-000000000000}">
          <x14:formula1>
            <xm:f>'Lookup Table'!$AG$2:$AG$10</xm:f>
          </x14:formula1>
          <xm:sqref>H35 H9 H22</xm:sqref>
        </x14:dataValidation>
        <x14:dataValidation type="list" allowBlank="1" showInputMessage="1" showErrorMessage="1" xr:uid="{00000000-0002-0000-0800-000001000000}">
          <x14:formula1>
            <xm:f>'Lookup Table'!$AN$2:$AN$3</xm:f>
          </x14:formula1>
          <xm:sqref>H13 H26 H39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J36"/>
  <sheetViews>
    <sheetView topLeftCell="A7" workbookViewId="0">
      <selection activeCell="B34" sqref="B34"/>
    </sheetView>
  </sheetViews>
  <sheetFormatPr defaultRowHeight="14.4" x14ac:dyDescent="0.3"/>
  <cols>
    <col min="2" max="2" width="15.6640625" customWidth="1"/>
    <col min="3" max="3" width="17.6640625" customWidth="1"/>
    <col min="4" max="4" width="24.5546875" customWidth="1"/>
    <col min="7" max="8" width="10.33203125" customWidth="1"/>
  </cols>
  <sheetData>
    <row r="1" spans="1:10" x14ac:dyDescent="0.3">
      <c r="A1" s="369" t="s">
        <v>243</v>
      </c>
      <c r="B1" s="369"/>
      <c r="C1" s="369"/>
    </row>
    <row r="2" spans="1:10" x14ac:dyDescent="0.3">
      <c r="A2" s="370" t="s">
        <v>244</v>
      </c>
      <c r="B2" s="370"/>
      <c r="C2" s="370"/>
      <c r="G2" s="370" t="s">
        <v>245</v>
      </c>
      <c r="H2" s="370"/>
      <c r="I2" s="370"/>
      <c r="J2" s="370"/>
    </row>
    <row r="3" spans="1:10" x14ac:dyDescent="0.3">
      <c r="B3" s="368" t="s">
        <v>98</v>
      </c>
      <c r="C3" s="368"/>
      <c r="D3" s="118" t="s">
        <v>242</v>
      </c>
      <c r="G3" s="368" t="s">
        <v>98</v>
      </c>
      <c r="H3" s="368"/>
    </row>
    <row r="4" spans="1:10" x14ac:dyDescent="0.3">
      <c r="B4" s="84" t="s">
        <v>228</v>
      </c>
      <c r="C4" s="84" t="s">
        <v>227</v>
      </c>
      <c r="D4" s="116" t="s">
        <v>229</v>
      </c>
      <c r="G4" s="115" t="s">
        <v>228</v>
      </c>
      <c r="H4" s="115" t="s">
        <v>227</v>
      </c>
    </row>
    <row r="5" spans="1:10" x14ac:dyDescent="0.3">
      <c r="A5" s="119">
        <v>1</v>
      </c>
      <c r="B5" t="s">
        <v>251</v>
      </c>
      <c r="C5" t="s">
        <v>279</v>
      </c>
      <c r="D5" s="117" t="str">
        <f t="shared" ref="D5:D36" si="0">CONCATENATE(B5," ",C5)</f>
        <v>Murray Stewart</v>
      </c>
      <c r="G5" t="s">
        <v>246</v>
      </c>
      <c r="H5" t="s">
        <v>247</v>
      </c>
    </row>
    <row r="6" spans="1:10" x14ac:dyDescent="0.3">
      <c r="A6" s="119">
        <v>2</v>
      </c>
      <c r="B6" t="s">
        <v>300</v>
      </c>
      <c r="C6" t="s">
        <v>329</v>
      </c>
      <c r="D6" s="117" t="str">
        <f t="shared" si="0"/>
        <v>Tom Hughes</v>
      </c>
    </row>
    <row r="7" spans="1:10" x14ac:dyDescent="0.3">
      <c r="A7" s="119">
        <v>3</v>
      </c>
      <c r="B7" t="s">
        <v>301</v>
      </c>
      <c r="C7" t="s">
        <v>321</v>
      </c>
      <c r="D7" s="117" t="str">
        <f t="shared" si="0"/>
        <v>Ethan Neville</v>
      </c>
    </row>
    <row r="8" spans="1:10" x14ac:dyDescent="0.3">
      <c r="A8" s="119">
        <v>4</v>
      </c>
      <c r="B8" t="s">
        <v>302</v>
      </c>
      <c r="C8" t="s">
        <v>322</v>
      </c>
      <c r="D8" s="117" t="str">
        <f t="shared" si="0"/>
        <v>Byron Chadwick</v>
      </c>
    </row>
    <row r="9" spans="1:10" x14ac:dyDescent="0.3">
      <c r="A9" s="119">
        <v>5</v>
      </c>
      <c r="B9" t="s">
        <v>303</v>
      </c>
      <c r="C9" t="s">
        <v>323</v>
      </c>
      <c r="D9" s="117" t="str">
        <f t="shared" si="0"/>
        <v>Dylan Littlehales</v>
      </c>
    </row>
    <row r="10" spans="1:10" x14ac:dyDescent="0.3">
      <c r="A10" s="119">
        <v>6</v>
      </c>
      <c r="B10" t="s">
        <v>304</v>
      </c>
      <c r="C10" t="s">
        <v>330</v>
      </c>
      <c r="D10" s="117" t="str">
        <f t="shared" si="0"/>
        <v>Jakob Hammond</v>
      </c>
    </row>
    <row r="11" spans="1:10" x14ac:dyDescent="0.3">
      <c r="A11" s="119">
        <v>7</v>
      </c>
      <c r="B11" t="s">
        <v>310</v>
      </c>
      <c r="C11" t="s">
        <v>324</v>
      </c>
      <c r="D11" s="117" t="str">
        <f t="shared" si="0"/>
        <v>Angus Schmidt</v>
      </c>
    </row>
    <row r="12" spans="1:10" x14ac:dyDescent="0.3">
      <c r="A12" s="119">
        <v>8</v>
      </c>
      <c r="B12" t="s">
        <v>305</v>
      </c>
      <c r="C12" t="s">
        <v>250</v>
      </c>
      <c r="D12" s="117" t="str">
        <f t="shared" si="0"/>
        <v>Jo Brigden-Jones</v>
      </c>
    </row>
    <row r="13" spans="1:10" x14ac:dyDescent="0.3">
      <c r="A13" s="119">
        <v>9</v>
      </c>
      <c r="B13" t="s">
        <v>306</v>
      </c>
      <c r="C13" t="s">
        <v>325</v>
      </c>
      <c r="D13" s="117" t="str">
        <f t="shared" si="0"/>
        <v>Keily Dober</v>
      </c>
    </row>
    <row r="14" spans="1:10" x14ac:dyDescent="0.3">
      <c r="A14" s="119">
        <v>10</v>
      </c>
      <c r="B14" t="s">
        <v>307</v>
      </c>
      <c r="C14" t="s">
        <v>326</v>
      </c>
      <c r="D14" s="117" t="str">
        <f t="shared" si="0"/>
        <v>Kailey Harlen</v>
      </c>
    </row>
    <row r="15" spans="1:10" x14ac:dyDescent="0.3">
      <c r="A15" s="119">
        <v>11</v>
      </c>
      <c r="B15" t="s">
        <v>308</v>
      </c>
      <c r="C15" t="s">
        <v>327</v>
      </c>
      <c r="D15" s="117" t="str">
        <f t="shared" si="0"/>
        <v>Jemma Smith</v>
      </c>
    </row>
    <row r="16" spans="1:10" x14ac:dyDescent="0.3">
      <c r="A16" s="119">
        <v>12</v>
      </c>
      <c r="B16" t="s">
        <v>309</v>
      </c>
      <c r="C16" t="s">
        <v>328</v>
      </c>
      <c r="D16" s="117" t="str">
        <f t="shared" si="0"/>
        <v>Ella Beere</v>
      </c>
    </row>
    <row r="17" spans="1:4" x14ac:dyDescent="0.3">
      <c r="A17" s="119">
        <v>13</v>
      </c>
      <c r="B17" t="s">
        <v>339</v>
      </c>
      <c r="C17" t="s">
        <v>340</v>
      </c>
      <c r="D17" s="117" t="str">
        <f t="shared" si="0"/>
        <v>Tinus Koekemoer</v>
      </c>
    </row>
    <row r="18" spans="1:4" x14ac:dyDescent="0.3">
      <c r="A18" s="119">
        <v>14</v>
      </c>
      <c r="B18" t="s">
        <v>311</v>
      </c>
      <c r="C18" t="s">
        <v>341</v>
      </c>
      <c r="D18" s="117" t="str">
        <f t="shared" si="0"/>
        <v>Ashby Allen</v>
      </c>
    </row>
    <row r="19" spans="1:4" x14ac:dyDescent="0.3">
      <c r="A19" s="119">
        <v>15</v>
      </c>
      <c r="B19" t="s">
        <v>312</v>
      </c>
      <c r="C19" t="s">
        <v>342</v>
      </c>
      <c r="D19" s="117" t="str">
        <f t="shared" si="0"/>
        <v>Fletcher Cunningham</v>
      </c>
    </row>
    <row r="20" spans="1:4" x14ac:dyDescent="0.3">
      <c r="A20" s="119">
        <v>16</v>
      </c>
      <c r="B20" t="s">
        <v>312</v>
      </c>
      <c r="C20" t="s">
        <v>343</v>
      </c>
      <c r="D20" s="117" t="str">
        <f t="shared" si="0"/>
        <v>Fletcher Armstrong</v>
      </c>
    </row>
    <row r="21" spans="1:4" x14ac:dyDescent="0.3">
      <c r="A21" s="119">
        <v>17</v>
      </c>
      <c r="B21" t="s">
        <v>313</v>
      </c>
      <c r="C21" t="s">
        <v>344</v>
      </c>
      <c r="D21" s="117" t="str">
        <f t="shared" si="0"/>
        <v>Toby Schooley</v>
      </c>
    </row>
    <row r="22" spans="1:4" x14ac:dyDescent="0.3">
      <c r="A22" s="119">
        <v>18</v>
      </c>
      <c r="B22" t="s">
        <v>314</v>
      </c>
      <c r="C22" t="s">
        <v>345</v>
      </c>
      <c r="D22" s="117" t="str">
        <f t="shared" si="0"/>
        <v>Jarrah Sheppard</v>
      </c>
    </row>
    <row r="23" spans="1:4" x14ac:dyDescent="0.3">
      <c r="A23" s="119">
        <v>19</v>
      </c>
      <c r="B23" t="s">
        <v>315</v>
      </c>
      <c r="C23" t="s">
        <v>346</v>
      </c>
      <c r="D23" s="117" t="str">
        <f t="shared" si="0"/>
        <v>Isabelle Rupenovic</v>
      </c>
    </row>
    <row r="24" spans="1:4" x14ac:dyDescent="0.3">
      <c r="A24" s="119">
        <v>20</v>
      </c>
      <c r="B24" t="s">
        <v>316</v>
      </c>
      <c r="C24" t="s">
        <v>347</v>
      </c>
      <c r="D24" s="117" t="str">
        <f t="shared" si="0"/>
        <v>Alisa van der Kwartel</v>
      </c>
    </row>
    <row r="25" spans="1:4" x14ac:dyDescent="0.3">
      <c r="A25" s="119">
        <v>21</v>
      </c>
      <c r="B25" t="s">
        <v>317</v>
      </c>
      <c r="C25" t="s">
        <v>348</v>
      </c>
      <c r="D25" s="117" t="str">
        <f t="shared" si="0"/>
        <v>Nicci Veseley</v>
      </c>
    </row>
    <row r="26" spans="1:4" x14ac:dyDescent="0.3">
      <c r="A26" s="119">
        <v>22</v>
      </c>
      <c r="B26" t="s">
        <v>318</v>
      </c>
      <c r="C26" t="s">
        <v>349</v>
      </c>
      <c r="D26" s="117" t="str">
        <f t="shared" si="0"/>
        <v>Eli Newton</v>
      </c>
    </row>
    <row r="27" spans="1:4" x14ac:dyDescent="0.3">
      <c r="A27" s="119">
        <v>23</v>
      </c>
      <c r="B27" t="s">
        <v>252</v>
      </c>
      <c r="C27" t="s">
        <v>350</v>
      </c>
      <c r="D27" s="117" t="str">
        <f t="shared" si="0"/>
        <v>Riley Clarke</v>
      </c>
    </row>
    <row r="28" spans="1:4" x14ac:dyDescent="0.3">
      <c r="A28" s="119">
        <v>24</v>
      </c>
      <c r="B28" t="s">
        <v>319</v>
      </c>
      <c r="D28" s="117" t="str">
        <f t="shared" si="0"/>
        <v xml:space="preserve">Noah </v>
      </c>
    </row>
    <row r="29" spans="1:4" x14ac:dyDescent="0.3">
      <c r="A29" s="119">
        <v>25</v>
      </c>
      <c r="B29" t="s">
        <v>320</v>
      </c>
      <c r="C29" t="s">
        <v>351</v>
      </c>
      <c r="D29" s="117" t="str">
        <f t="shared" si="0"/>
        <v>Jasmine Locke</v>
      </c>
    </row>
    <row r="30" spans="1:4" x14ac:dyDescent="0.3">
      <c r="A30" s="119">
        <v>26</v>
      </c>
      <c r="B30" t="s">
        <v>352</v>
      </c>
      <c r="C30" t="s">
        <v>353</v>
      </c>
      <c r="D30" s="117" t="str">
        <f t="shared" si="0"/>
        <v>Jaime Roberts</v>
      </c>
    </row>
    <row r="31" spans="1:4" x14ac:dyDescent="0.3">
      <c r="A31" s="119">
        <v>27</v>
      </c>
      <c r="B31" t="s">
        <v>354</v>
      </c>
      <c r="C31" t="s">
        <v>355</v>
      </c>
      <c r="D31" s="117" t="str">
        <f t="shared" si="0"/>
        <v>Tim Lodge</v>
      </c>
    </row>
    <row r="32" spans="1:4" x14ac:dyDescent="0.3">
      <c r="A32" s="119">
        <v>28</v>
      </c>
      <c r="B32" t="s">
        <v>356</v>
      </c>
      <c r="C32" t="s">
        <v>357</v>
      </c>
      <c r="D32" s="117" t="str">
        <f t="shared" si="0"/>
        <v>Georgia Sinclair</v>
      </c>
    </row>
    <row r="33" spans="1:4" x14ac:dyDescent="0.3">
      <c r="A33" s="119">
        <v>29</v>
      </c>
      <c r="B33" t="s">
        <v>359</v>
      </c>
      <c r="C33" t="s">
        <v>360</v>
      </c>
      <c r="D33" s="117" t="str">
        <f t="shared" si="0"/>
        <v>Lachlan Tame</v>
      </c>
    </row>
    <row r="34" spans="1:4" x14ac:dyDescent="0.3">
      <c r="A34" s="119">
        <v>30</v>
      </c>
      <c r="D34" s="117" t="str">
        <f t="shared" si="0"/>
        <v xml:space="preserve"> </v>
      </c>
    </row>
    <row r="35" spans="1:4" x14ac:dyDescent="0.3">
      <c r="A35" s="119">
        <v>31</v>
      </c>
      <c r="D35" s="117" t="str">
        <f t="shared" si="0"/>
        <v xml:space="preserve"> </v>
      </c>
    </row>
    <row r="36" spans="1:4" x14ac:dyDescent="0.3">
      <c r="A36" s="119">
        <v>32</v>
      </c>
      <c r="D36" s="117" t="str">
        <f t="shared" si="0"/>
        <v xml:space="preserve"> </v>
      </c>
    </row>
  </sheetData>
  <mergeCells count="5">
    <mergeCell ref="B3:C3"/>
    <mergeCell ref="A1:C1"/>
    <mergeCell ref="A2:C2"/>
    <mergeCell ref="G3:H3"/>
    <mergeCell ref="G2:J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rgb="FF00B0F0"/>
  </sheetPr>
  <dimension ref="A1:R64"/>
  <sheetViews>
    <sheetView view="pageLayout" topLeftCell="A4" zoomScaleNormal="100" workbookViewId="0">
      <selection activeCell="B9" sqref="B9"/>
    </sheetView>
  </sheetViews>
  <sheetFormatPr defaultColWidth="9.33203125" defaultRowHeight="14.4" x14ac:dyDescent="0.3"/>
  <cols>
    <col min="1" max="6" width="8.6640625" style="32" customWidth="1"/>
    <col min="7" max="7" width="1.33203125" style="32" customWidth="1"/>
    <col min="8" max="12" width="8.6640625" style="32" customWidth="1"/>
    <col min="13" max="13" width="1.109375" style="32" customWidth="1"/>
    <col min="14" max="16" width="8.6640625" style="32" customWidth="1"/>
    <col min="17" max="46" width="8.6640625" style="96" customWidth="1"/>
    <col min="47" max="16384" width="9.33203125" style="96"/>
  </cols>
  <sheetData>
    <row r="1" spans="1:18" ht="15.6" x14ac:dyDescent="0.3">
      <c r="A1" s="375" t="s">
        <v>230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</row>
    <row r="3" spans="1:18" x14ac:dyDescent="0.3">
      <c r="A3" s="46" t="s">
        <v>231</v>
      </c>
      <c r="C3" s="376">
        <f ca="1">NOW()</f>
        <v>43877.598516550926</v>
      </c>
      <c r="D3" s="376"/>
    </row>
    <row r="5" spans="1:18" x14ac:dyDescent="0.3">
      <c r="A5" s="97"/>
      <c r="B5" s="377" t="s">
        <v>232</v>
      </c>
      <c r="C5" s="377"/>
      <c r="D5" s="377"/>
      <c r="E5" s="377"/>
      <c r="F5" s="377"/>
      <c r="G5" s="377"/>
      <c r="H5" s="377"/>
      <c r="I5" s="377"/>
      <c r="J5" s="377"/>
      <c r="K5" s="377"/>
      <c r="L5" s="377"/>
      <c r="M5" s="377"/>
      <c r="N5" s="377"/>
      <c r="O5" s="377"/>
      <c r="P5" s="377"/>
      <c r="Q5" s="377"/>
      <c r="R5" s="377"/>
    </row>
    <row r="6" spans="1:18" x14ac:dyDescent="0.3">
      <c r="A6" s="98"/>
      <c r="B6" s="372" t="s">
        <v>214</v>
      </c>
      <c r="C6" s="372"/>
      <c r="D6" s="372"/>
      <c r="E6" s="372"/>
      <c r="F6" s="372"/>
      <c r="H6" s="373" t="s">
        <v>215</v>
      </c>
      <c r="I6" s="373"/>
      <c r="J6" s="373"/>
      <c r="K6" s="373"/>
      <c r="L6" s="373"/>
      <c r="N6" s="374" t="s">
        <v>216</v>
      </c>
      <c r="O6" s="374"/>
      <c r="P6" s="374"/>
      <c r="Q6" s="374"/>
      <c r="R6" s="374"/>
    </row>
    <row r="7" spans="1:18" x14ac:dyDescent="0.3">
      <c r="A7" s="46" t="s">
        <v>100</v>
      </c>
      <c r="B7" s="99" t="s">
        <v>233</v>
      </c>
      <c r="C7" s="99" t="s">
        <v>234</v>
      </c>
      <c r="D7" s="99" t="s">
        <v>235</v>
      </c>
      <c r="E7" s="99" t="s">
        <v>236</v>
      </c>
      <c r="F7" s="99" t="s">
        <v>21</v>
      </c>
      <c r="G7" s="46"/>
      <c r="H7" s="99" t="s">
        <v>233</v>
      </c>
      <c r="I7" s="99" t="s">
        <v>234</v>
      </c>
      <c r="J7" s="99" t="s">
        <v>235</v>
      </c>
      <c r="K7" s="99" t="s">
        <v>236</v>
      </c>
      <c r="L7" s="99" t="s">
        <v>21</v>
      </c>
      <c r="M7" s="46"/>
      <c r="N7" s="99" t="s">
        <v>233</v>
      </c>
      <c r="O7" s="99" t="s">
        <v>234</v>
      </c>
      <c r="P7" s="99" t="s">
        <v>235</v>
      </c>
      <c r="Q7" s="99" t="s">
        <v>236</v>
      </c>
      <c r="R7" s="99" t="s">
        <v>21</v>
      </c>
    </row>
    <row r="8" spans="1:18" x14ac:dyDescent="0.3">
      <c r="A8" s="46" t="s">
        <v>267</v>
      </c>
      <c r="B8" s="100">
        <v>2.3981799768518519E-3</v>
      </c>
      <c r="C8" s="100">
        <v>2.407471064814815E-3</v>
      </c>
      <c r="D8" s="100">
        <v>2.413596643518518E-3</v>
      </c>
      <c r="E8" s="100">
        <v>2.4404188100137173E-3</v>
      </c>
      <c r="F8" s="100">
        <v>2.4737218149862824E-3</v>
      </c>
      <c r="G8" s="57"/>
      <c r="H8" s="100">
        <v>2.4407667824074076E-3</v>
      </c>
      <c r="I8" s="100">
        <v>2.4561805555555556E-3</v>
      </c>
      <c r="J8" s="100">
        <v>2.4651765046296297E-3</v>
      </c>
      <c r="K8" s="100">
        <v>2.4543599965706452E-3</v>
      </c>
      <c r="L8" s="100">
        <v>2.5308196159122085E-3</v>
      </c>
      <c r="M8" s="57"/>
      <c r="N8" s="100">
        <v>2.4948234953703703E-3</v>
      </c>
      <c r="O8" s="100">
        <v>2.5052806712962962E-3</v>
      </c>
      <c r="P8" s="100">
        <v>2.5205439814814812E-3</v>
      </c>
      <c r="Q8" s="100">
        <v>2.5424001200274348E-3</v>
      </c>
      <c r="R8" s="100">
        <v>2.5810820687585732E-3</v>
      </c>
    </row>
    <row r="9" spans="1:18" x14ac:dyDescent="0.3">
      <c r="A9" s="46"/>
      <c r="B9" s="101">
        <v>1.2055189560856796E-2</v>
      </c>
      <c r="C9" s="101">
        <v>1.1602550615250527E-2</v>
      </c>
      <c r="D9" s="101">
        <v>1.3590134046916169E-2</v>
      </c>
      <c r="E9" s="101">
        <v>1.7143121305601371E-2</v>
      </c>
      <c r="F9" s="101">
        <v>1.9723917339866E-2</v>
      </c>
      <c r="G9" s="102"/>
      <c r="H9" s="101">
        <v>1.418175889461694E-2</v>
      </c>
      <c r="I9" s="101">
        <v>1.4900793246036425E-2</v>
      </c>
      <c r="J9" s="101">
        <v>1.4160936723643389E-2</v>
      </c>
      <c r="K9" s="101">
        <v>3.4780995494874838E-2</v>
      </c>
      <c r="L9" s="101">
        <v>2.5193802948905983E-2</v>
      </c>
      <c r="M9" s="102"/>
      <c r="N9" s="101">
        <v>1.3246862906763808E-2</v>
      </c>
      <c r="O9" s="101">
        <v>1.2581193338783218E-2</v>
      </c>
      <c r="P9" s="101">
        <v>1.5989002859103704E-2</v>
      </c>
      <c r="Q9" s="101">
        <v>3.5911668321050125E-2</v>
      </c>
      <c r="R9" s="101">
        <v>2.1498334846735405E-2</v>
      </c>
    </row>
    <row r="10" spans="1:18" x14ac:dyDescent="0.3">
      <c r="A10" s="46" t="s">
        <v>268</v>
      </c>
      <c r="B10" s="100">
        <v>2.1972974537037035E-3</v>
      </c>
      <c r="C10" s="100">
        <v>2.2030787037037036E-3</v>
      </c>
      <c r="D10" s="100">
        <v>2.2118894675925926E-3</v>
      </c>
      <c r="E10" s="100">
        <v>2.2604873971193416E-3</v>
      </c>
      <c r="F10" s="100">
        <v>2.3066995670438959E-3</v>
      </c>
      <c r="G10" s="57"/>
      <c r="H10" s="100">
        <v>2.2413078703703701E-3</v>
      </c>
      <c r="I10" s="100">
        <v>2.248616898148148E-3</v>
      </c>
      <c r="J10" s="100">
        <v>2.2573784722222223E-3</v>
      </c>
      <c r="K10" s="100">
        <v>2.3073855452674899E-3</v>
      </c>
      <c r="L10" s="100">
        <v>2.3023868312757201E-3</v>
      </c>
      <c r="M10" s="103"/>
      <c r="N10" s="100">
        <v>2.2860329861111115E-3</v>
      </c>
      <c r="O10" s="100">
        <v>2.3012152777777775E-3</v>
      </c>
      <c r="P10" s="100">
        <v>2.3083043981481483E-3</v>
      </c>
      <c r="Q10" s="100">
        <v>2.3584516460905354E-3</v>
      </c>
      <c r="R10" s="100">
        <v>2.3698225308641974E-3</v>
      </c>
    </row>
    <row r="11" spans="1:18" x14ac:dyDescent="0.3">
      <c r="A11" s="46"/>
      <c r="B11" s="101">
        <v>3.8620495879601274E-3</v>
      </c>
      <c r="C11" s="101">
        <v>3.7135548502121103E-3</v>
      </c>
      <c r="D11" s="101">
        <v>6.4652207620538036E-3</v>
      </c>
      <c r="E11" s="101">
        <v>2.0113135930050235E-2</v>
      </c>
      <c r="F11" s="101">
        <v>2.0329321073103722E-2</v>
      </c>
      <c r="G11" s="57"/>
      <c r="H11" s="101">
        <v>1.6621254185944324E-2</v>
      </c>
      <c r="I11" s="101">
        <v>1.5649604599970057E-2</v>
      </c>
      <c r="J11" s="101">
        <v>1.398255944993685E-2</v>
      </c>
      <c r="K11" s="101">
        <v>2.809476811310602E-2</v>
      </c>
      <c r="L11" s="101">
        <v>5.1655108314863597E-3</v>
      </c>
      <c r="M11" s="102"/>
      <c r="N11" s="101">
        <v>1.4535321624630552E-2</v>
      </c>
      <c r="O11" s="101">
        <v>1.214311417419622E-2</v>
      </c>
      <c r="P11" s="101">
        <v>1.2057234399570248E-2</v>
      </c>
      <c r="Q11" s="101">
        <v>3.2838402262479874E-2</v>
      </c>
      <c r="R11" s="101">
        <v>8.9224180501786959E-3</v>
      </c>
    </row>
    <row r="12" spans="1:18" x14ac:dyDescent="0.3">
      <c r="A12" s="46" t="s">
        <v>269</v>
      </c>
      <c r="B12" s="100">
        <v>2.0156336805555552E-3</v>
      </c>
      <c r="C12" s="100">
        <v>2.0223234953703705E-3</v>
      </c>
      <c r="D12" s="100">
        <v>2.0311631944444444E-3</v>
      </c>
      <c r="E12" s="100">
        <v>2.0324781378600822E-3</v>
      </c>
      <c r="F12" s="100" t="s">
        <v>270</v>
      </c>
      <c r="G12" s="57"/>
      <c r="H12" s="100">
        <v>2.0466579861111111E-3</v>
      </c>
      <c r="I12" s="100">
        <v>2.0537094907407405E-3</v>
      </c>
      <c r="J12" s="100">
        <v>2.0662094907407409E-3</v>
      </c>
      <c r="K12" s="100">
        <v>2.1047710905349798E-3</v>
      </c>
      <c r="L12" s="100" t="s">
        <v>270</v>
      </c>
      <c r="M12" s="103"/>
      <c r="N12" s="100">
        <v>2.0998437500000001E-3</v>
      </c>
      <c r="O12" s="100">
        <v>2.1153645833333332E-3</v>
      </c>
      <c r="P12" s="100">
        <v>2.1227112268518518E-3</v>
      </c>
      <c r="Q12" s="100">
        <v>2.1371836419753092E-3</v>
      </c>
      <c r="R12" s="100" t="s">
        <v>270</v>
      </c>
    </row>
    <row r="13" spans="1:18" x14ac:dyDescent="0.3">
      <c r="A13" s="46"/>
      <c r="B13" s="101">
        <v>2.5753368362987996E-2</v>
      </c>
      <c r="C13" s="101">
        <v>2.6833647746236734E-2</v>
      </c>
      <c r="D13" s="101">
        <v>2.5876025269684071E-2</v>
      </c>
      <c r="E13" s="101">
        <v>1.3972022504637145E-2</v>
      </c>
      <c r="F13" s="101" t="s">
        <v>270</v>
      </c>
      <c r="G13" s="57"/>
      <c r="H13" s="101">
        <v>2.1212930374867923E-2</v>
      </c>
      <c r="I13" s="101">
        <v>2.1615491186619856E-2</v>
      </c>
      <c r="J13" s="101">
        <v>2.3007081304151605E-2</v>
      </c>
      <c r="K13" s="101">
        <v>2.3322333485434634E-2</v>
      </c>
      <c r="L13" s="101" t="s">
        <v>270</v>
      </c>
      <c r="M13" s="102"/>
      <c r="N13" s="101">
        <v>2.1243358771665829E-2</v>
      </c>
      <c r="O13" s="101">
        <v>1.6386156179745138E-2</v>
      </c>
      <c r="P13" s="101">
        <v>1.6560229931778352E-2</v>
      </c>
      <c r="Q13" s="101">
        <v>3.8241813463474952E-2</v>
      </c>
      <c r="R13" s="101" t="s">
        <v>270</v>
      </c>
    </row>
    <row r="14" spans="1:18" x14ac:dyDescent="0.3">
      <c r="A14" s="46" t="s">
        <v>271</v>
      </c>
      <c r="B14" s="100">
        <v>2.6551967592592591E-3</v>
      </c>
      <c r="C14" s="100">
        <v>2.6728443287037033E-3</v>
      </c>
      <c r="D14" s="100">
        <v>2.6916464120370371E-3</v>
      </c>
      <c r="E14" s="100">
        <v>2.7119765946502054E-3</v>
      </c>
      <c r="F14" s="100">
        <v>2.7839552254801097E-3</v>
      </c>
      <c r="G14" s="57"/>
      <c r="H14" s="100">
        <v>2.7072424768518517E-3</v>
      </c>
      <c r="I14" s="100">
        <v>2.7308217592592592E-3</v>
      </c>
      <c r="J14" s="100">
        <v>2.7504398148148149E-3</v>
      </c>
      <c r="K14" s="100">
        <v>2.7971686385459536E-3</v>
      </c>
      <c r="L14" s="100">
        <v>2.7639416152263376E-3</v>
      </c>
      <c r="M14" s="103"/>
      <c r="N14" s="100">
        <v>2.710366512345679E-3</v>
      </c>
      <c r="O14" s="100">
        <v>2.7353317901234568E-3</v>
      </c>
      <c r="P14" s="100">
        <v>2.7537461419753087E-3</v>
      </c>
      <c r="Q14" s="100">
        <v>2.8133063271604938E-3</v>
      </c>
      <c r="R14" s="100">
        <v>2.9091139403292186E-3</v>
      </c>
    </row>
    <row r="15" spans="1:18" x14ac:dyDescent="0.3">
      <c r="A15" s="46"/>
      <c r="B15" s="101">
        <v>2.0098298829793512E-2</v>
      </c>
      <c r="C15" s="101">
        <v>1.9049912067035862E-2</v>
      </c>
      <c r="D15" s="101">
        <v>2.1156780972961333E-2</v>
      </c>
      <c r="E15" s="101">
        <v>1.2608098466550335E-2</v>
      </c>
      <c r="F15" s="101">
        <v>1.1698150594734738E-2</v>
      </c>
      <c r="G15" s="57"/>
      <c r="H15" s="101">
        <v>1.8427391164776701E-2</v>
      </c>
      <c r="I15" s="101">
        <v>1.8948901452467679E-2</v>
      </c>
      <c r="J15" s="101">
        <v>1.8577422937607609E-2</v>
      </c>
      <c r="K15" s="101">
        <v>3.0749446356481726E-2</v>
      </c>
      <c r="L15" s="101">
        <v>0</v>
      </c>
      <c r="M15" s="102"/>
      <c r="N15" s="101">
        <v>5.0448769119705575E-3</v>
      </c>
      <c r="O15" s="101">
        <v>6.9528852361758885E-3</v>
      </c>
      <c r="P15" s="101">
        <v>8.8285951584882363E-3</v>
      </c>
      <c r="Q15" s="101">
        <v>3.4480376318661313E-2</v>
      </c>
      <c r="R15" s="101">
        <v>4.9356203254725707E-3</v>
      </c>
    </row>
    <row r="16" spans="1:18" x14ac:dyDescent="0.3">
      <c r="A16" s="46" t="s">
        <v>272</v>
      </c>
      <c r="B16" s="100">
        <v>2.5016319444444448E-3</v>
      </c>
      <c r="C16" s="100">
        <v>2.510274884259259E-3</v>
      </c>
      <c r="D16" s="100">
        <v>2.5234664351851854E-3</v>
      </c>
      <c r="E16" s="100">
        <v>2.5008401920438954E-3</v>
      </c>
      <c r="F16" s="100">
        <v>2.5166139403292181E-3</v>
      </c>
      <c r="G16" s="57"/>
      <c r="H16" s="100">
        <v>2.4978327546296298E-3</v>
      </c>
      <c r="I16" s="100">
        <v>2.5194241898148151E-3</v>
      </c>
      <c r="J16" s="100">
        <v>2.5317361111111113E-3</v>
      </c>
      <c r="K16" s="100">
        <v>2.5743750000000003E-3</v>
      </c>
      <c r="L16" s="100" t="s">
        <v>270</v>
      </c>
      <c r="M16" s="103"/>
      <c r="N16" s="100">
        <v>2.5579484953703706E-3</v>
      </c>
      <c r="O16" s="100">
        <v>2.5688165509259258E-3</v>
      </c>
      <c r="P16" s="100">
        <v>2.58796875E-3</v>
      </c>
      <c r="Q16" s="100">
        <v>2.640429526748971E-3</v>
      </c>
      <c r="R16" s="100" t="s">
        <v>270</v>
      </c>
    </row>
    <row r="17" spans="1:18" x14ac:dyDescent="0.3">
      <c r="A17" s="46"/>
      <c r="B17" s="101">
        <v>2.6608867598736659E-2</v>
      </c>
      <c r="C17" s="101">
        <v>2.6956886803928753E-2</v>
      </c>
      <c r="D17" s="101">
        <v>2.5591022228677748E-2</v>
      </c>
      <c r="E17" s="101">
        <v>1.4642236112498479E-2</v>
      </c>
      <c r="F17" s="101">
        <v>3.8775238014450378E-3</v>
      </c>
      <c r="G17" s="57"/>
      <c r="H17" s="101">
        <v>1.9617068730262258E-2</v>
      </c>
      <c r="I17" s="101">
        <v>2.0696727018302302E-2</v>
      </c>
      <c r="J17" s="101">
        <v>2.1059101153286259E-2</v>
      </c>
      <c r="K17" s="101">
        <v>2.5076493605137411E-2</v>
      </c>
      <c r="L17" s="101" t="s">
        <v>270</v>
      </c>
      <c r="M17" s="102"/>
      <c r="N17" s="101">
        <v>1.4295388451891065E-2</v>
      </c>
      <c r="O17" s="101">
        <v>1.3756263176211713E-2</v>
      </c>
      <c r="P17" s="101">
        <v>1.9301944224412303E-2</v>
      </c>
      <c r="Q17" s="101">
        <v>1.6487090873600049E-2</v>
      </c>
      <c r="R17" s="101" t="s">
        <v>270</v>
      </c>
    </row>
    <row r="18" spans="1:18" x14ac:dyDescent="0.3">
      <c r="A18" s="46" t="s">
        <v>273</v>
      </c>
      <c r="B18" s="100">
        <v>4.0105324074074072E-4</v>
      </c>
      <c r="C18" s="100">
        <v>4.0253761574074069E-4</v>
      </c>
      <c r="D18" s="100">
        <v>4.0460069444444446E-4</v>
      </c>
      <c r="E18" s="100">
        <v>4.0142018175582988E-4</v>
      </c>
      <c r="F18" s="100">
        <v>4.0794356567215362E-4</v>
      </c>
      <c r="G18" s="57"/>
      <c r="H18" s="100">
        <v>3.9743055555555555E-4</v>
      </c>
      <c r="I18" s="100">
        <v>4.0698495370370368E-4</v>
      </c>
      <c r="J18" s="100">
        <v>4.0785011574074069E-4</v>
      </c>
      <c r="K18" s="100">
        <v>4.1526706104252404E-4</v>
      </c>
      <c r="L18" s="100">
        <v>4.3275479038065842E-4</v>
      </c>
      <c r="M18" s="103"/>
      <c r="N18" s="100">
        <v>4.1639467592592585E-4</v>
      </c>
      <c r="O18" s="100">
        <v>4.19134837962963E-4</v>
      </c>
      <c r="P18" s="100">
        <v>4.2190393518518521E-4</v>
      </c>
      <c r="Q18" s="100">
        <v>4.2585519547325102E-4</v>
      </c>
      <c r="R18" s="100">
        <v>4.326424254115227E-4</v>
      </c>
    </row>
    <row r="19" spans="1:18" x14ac:dyDescent="0.3">
      <c r="A19" s="46"/>
      <c r="B19" s="101">
        <v>1.2882536269610598E-2</v>
      </c>
      <c r="C19" s="101">
        <v>1.3441659672255539E-2</v>
      </c>
      <c r="D19" s="101">
        <v>1.4121271709551074E-2</v>
      </c>
      <c r="E19" s="101">
        <v>9.780363741797065E-3</v>
      </c>
      <c r="F19" s="101">
        <v>1.1226974803945113E-2</v>
      </c>
      <c r="G19" s="57"/>
      <c r="H19" s="101">
        <v>1.8960220897376496E-2</v>
      </c>
      <c r="I19" s="101">
        <v>1.6193136842368491E-2</v>
      </c>
      <c r="J19" s="101">
        <v>1.7426701547815573E-2</v>
      </c>
      <c r="K19" s="101">
        <v>2.5813406425369712E-2</v>
      </c>
      <c r="L19" s="101">
        <v>1.1055016546678911E-2</v>
      </c>
      <c r="M19" s="102"/>
      <c r="N19" s="101">
        <v>9.4487024320811814E-3</v>
      </c>
      <c r="O19" s="101">
        <v>1.4717817557404013E-2</v>
      </c>
      <c r="P19" s="101">
        <v>1.1806671107737263E-2</v>
      </c>
      <c r="Q19" s="101">
        <v>2.9526587262970631E-2</v>
      </c>
      <c r="R19" s="101">
        <v>2.0694944084488968E-2</v>
      </c>
    </row>
    <row r="20" spans="1:18" x14ac:dyDescent="0.3">
      <c r="A20" s="104"/>
      <c r="B20" s="371" t="s">
        <v>237</v>
      </c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371"/>
      <c r="R20" s="371"/>
    </row>
    <row r="21" spans="1:18" x14ac:dyDescent="0.3">
      <c r="A21" s="105"/>
      <c r="B21" s="372" t="s">
        <v>214</v>
      </c>
      <c r="C21" s="372"/>
      <c r="D21" s="372"/>
      <c r="E21" s="372"/>
      <c r="F21" s="372"/>
      <c r="H21" s="373" t="s">
        <v>215</v>
      </c>
      <c r="I21" s="373"/>
      <c r="J21" s="373"/>
      <c r="K21" s="373"/>
      <c r="L21" s="373"/>
      <c r="N21" s="374" t="s">
        <v>216</v>
      </c>
      <c r="O21" s="374"/>
      <c r="P21" s="374"/>
      <c r="Q21" s="374"/>
      <c r="R21" s="374"/>
    </row>
    <row r="22" spans="1:18" x14ac:dyDescent="0.3">
      <c r="A22" s="46"/>
      <c r="B22" s="99" t="s">
        <v>233</v>
      </c>
      <c r="C22" s="99" t="s">
        <v>234</v>
      </c>
      <c r="D22" s="99" t="s">
        <v>235</v>
      </c>
      <c r="E22" s="99" t="s">
        <v>236</v>
      </c>
      <c r="F22" s="99" t="s">
        <v>21</v>
      </c>
      <c r="G22" s="46"/>
      <c r="H22" s="99" t="s">
        <v>233</v>
      </c>
      <c r="I22" s="99" t="s">
        <v>234</v>
      </c>
      <c r="J22" s="99" t="s">
        <v>235</v>
      </c>
      <c r="K22" s="99" t="s">
        <v>236</v>
      </c>
      <c r="L22" s="99" t="s">
        <v>21</v>
      </c>
      <c r="M22" s="46"/>
      <c r="N22" s="99" t="s">
        <v>233</v>
      </c>
      <c r="O22" s="99" t="s">
        <v>234</v>
      </c>
      <c r="P22" s="99" t="s">
        <v>235</v>
      </c>
      <c r="Q22" s="99" t="s">
        <v>236</v>
      </c>
      <c r="R22" s="99" t="s">
        <v>21</v>
      </c>
    </row>
    <row r="23" spans="1:18" x14ac:dyDescent="0.3">
      <c r="A23" s="46" t="s">
        <v>274</v>
      </c>
      <c r="B23" s="100">
        <v>1.2807609953703705E-3</v>
      </c>
      <c r="C23" s="100">
        <v>1.296082175925926E-3</v>
      </c>
      <c r="D23" s="100">
        <v>1.2999681712962962E-3</v>
      </c>
      <c r="E23" s="100">
        <v>1.2829985425240056E-3</v>
      </c>
      <c r="F23" s="100">
        <v>1.2933154899691358E-3</v>
      </c>
      <c r="H23" s="100">
        <v>1.3050028935185185E-3</v>
      </c>
      <c r="I23" s="100">
        <v>1.316545138888889E-3</v>
      </c>
      <c r="J23" s="100">
        <v>1.3214872685185185E-3</v>
      </c>
      <c r="K23" s="100">
        <v>1.3148701131687243E-3</v>
      </c>
      <c r="L23" s="100">
        <v>1.3562011316872427E-3</v>
      </c>
      <c r="N23" s="100">
        <v>1.3451967592592591E-3</v>
      </c>
      <c r="O23" s="100">
        <v>1.3519675925925925E-3</v>
      </c>
      <c r="P23" s="100">
        <v>1.3677546296296296E-3</v>
      </c>
      <c r="Q23" s="100">
        <v>1.3499627057613169E-3</v>
      </c>
      <c r="R23" s="100">
        <v>1.3935519547325101E-3</v>
      </c>
    </row>
    <row r="24" spans="1:18" x14ac:dyDescent="0.3">
      <c r="A24" s="46"/>
      <c r="B24" s="101">
        <v>1.2362630739413625E-2</v>
      </c>
      <c r="C24" s="101">
        <v>1.5159958554858025E-2</v>
      </c>
      <c r="D24" s="101">
        <v>1.3062633328705957E-2</v>
      </c>
      <c r="E24" s="101">
        <v>2.0153348787523936E-2</v>
      </c>
      <c r="F24" s="101">
        <v>2.7365754362990613E-3</v>
      </c>
      <c r="H24" s="101">
        <v>1.9212721794049308E-2</v>
      </c>
      <c r="I24" s="101">
        <v>2.1753323590565844E-2</v>
      </c>
      <c r="J24" s="101">
        <v>2.1563811045857865E-2</v>
      </c>
      <c r="K24" s="101">
        <v>1.4910366641465434E-2</v>
      </c>
      <c r="L24" s="101">
        <v>1.1484170979591913E-2</v>
      </c>
      <c r="N24" s="101">
        <v>2.0432538425540124E-2</v>
      </c>
      <c r="O24" s="101">
        <v>1.4389396391390646E-2</v>
      </c>
      <c r="P24" s="101">
        <v>1.8471122670139846E-2</v>
      </c>
      <c r="Q24" s="101">
        <v>1.8995342616346396E-2</v>
      </c>
      <c r="R24" s="101">
        <v>3.2434622277427876E-2</v>
      </c>
    </row>
    <row r="25" spans="1:18" s="32" customFormat="1" ht="13.8" x14ac:dyDescent="0.3">
      <c r="A25" s="46" t="s">
        <v>275</v>
      </c>
      <c r="B25" s="100">
        <v>1.173900462962963E-3</v>
      </c>
      <c r="C25" s="100">
        <v>1.1822077546296296E-3</v>
      </c>
      <c r="D25" s="100">
        <v>1.1917795138888889E-3</v>
      </c>
      <c r="E25" s="100">
        <v>1.175874485596708E-3</v>
      </c>
      <c r="F25" s="100">
        <v>1.2108699845679012E-3</v>
      </c>
      <c r="H25" s="100">
        <v>1.2001967592592591E-3</v>
      </c>
      <c r="I25" s="100">
        <v>1.2132021604938272E-3</v>
      </c>
      <c r="J25" s="100">
        <v>1.2215123456790122E-3</v>
      </c>
      <c r="K25" s="100">
        <v>1.2327980324074073E-3</v>
      </c>
      <c r="L25" s="100" t="s">
        <v>270</v>
      </c>
      <c r="N25" s="100">
        <v>1.2358757716049384E-3</v>
      </c>
      <c r="O25" s="100">
        <v>1.2429166666666665E-3</v>
      </c>
      <c r="P25" s="100">
        <v>1.2462152777777777E-3</v>
      </c>
      <c r="Q25" s="100">
        <v>1.2826806841563787E-3</v>
      </c>
      <c r="R25" s="100" t="s">
        <v>270</v>
      </c>
    </row>
    <row r="26" spans="1:18" s="32" customFormat="1" ht="13.8" x14ac:dyDescent="0.3">
      <c r="A26" s="46"/>
      <c r="B26" s="101">
        <v>1.5891309233746292E-2</v>
      </c>
      <c r="C26" s="101">
        <v>1.3617244804909468E-2</v>
      </c>
      <c r="D26" s="101">
        <v>1.6398633599713365E-2</v>
      </c>
      <c r="E26" s="101">
        <v>1.4465593168443008E-2</v>
      </c>
      <c r="F26" s="101">
        <v>2.0819958102004918E-2</v>
      </c>
      <c r="H26" s="101">
        <v>2.4985099877675037E-2</v>
      </c>
      <c r="I26" s="101">
        <v>2.2444836939930945E-2</v>
      </c>
      <c r="J26" s="101">
        <v>2.4752652457321299E-2</v>
      </c>
      <c r="K26" s="101">
        <v>2.2465800581302084E-2</v>
      </c>
      <c r="L26" s="101" t="s">
        <v>270</v>
      </c>
      <c r="N26" s="101">
        <v>2.45153514244335E-2</v>
      </c>
      <c r="O26" s="101">
        <v>2.2505728655049656E-2</v>
      </c>
      <c r="P26" s="101">
        <v>2.0859061251976677E-2</v>
      </c>
      <c r="Q26" s="101">
        <v>3.5539528184939155E-2</v>
      </c>
      <c r="R26" s="101" t="s">
        <v>270</v>
      </c>
    </row>
    <row r="27" spans="1:18" s="32" customFormat="1" ht="13.8" x14ac:dyDescent="0.3">
      <c r="A27" s="46" t="s">
        <v>276</v>
      </c>
      <c r="B27" s="100">
        <v>1.0572986111111109E-3</v>
      </c>
      <c r="C27" s="100">
        <v>1.0656898148148147E-3</v>
      </c>
      <c r="D27" s="100">
        <v>1.0727430555555555E-3</v>
      </c>
      <c r="E27" s="100">
        <v>1.0903079989711935E-3</v>
      </c>
      <c r="F27" s="100" t="s">
        <v>270</v>
      </c>
      <c r="H27" s="100">
        <v>1.0880709876543212E-3</v>
      </c>
      <c r="I27" s="100">
        <v>1.0973109567901235E-3</v>
      </c>
      <c r="J27" s="100">
        <v>1.1021682098765432E-3</v>
      </c>
      <c r="K27" s="100">
        <v>1.1165412808641975E-3</v>
      </c>
      <c r="L27" s="100" t="s">
        <v>270</v>
      </c>
      <c r="N27" s="100">
        <v>1.1213194444444445E-3</v>
      </c>
      <c r="O27" s="100">
        <v>1.1316637731481481E-3</v>
      </c>
      <c r="P27" s="100">
        <v>1.1385185185185185E-3</v>
      </c>
      <c r="Q27" s="100">
        <v>1.1478067129629631E-3</v>
      </c>
      <c r="R27" s="100" t="s">
        <v>270</v>
      </c>
    </row>
    <row r="28" spans="1:18" s="32" customFormat="1" ht="13.8" x14ac:dyDescent="0.3">
      <c r="A28" s="46"/>
      <c r="B28" s="101">
        <v>2.0607868064718479E-2</v>
      </c>
      <c r="C28" s="101">
        <v>2.0328093554581872E-2</v>
      </c>
      <c r="D28" s="101">
        <v>2.077302882132755E-2</v>
      </c>
      <c r="E28" s="101">
        <v>2.1188683678304825E-2</v>
      </c>
      <c r="F28" s="101" t="s">
        <v>270</v>
      </c>
      <c r="H28" s="101">
        <v>1.1605945122099278E-2</v>
      </c>
      <c r="I28" s="101">
        <v>1.4787648873990488E-2</v>
      </c>
      <c r="J28" s="101">
        <v>1.6448995934241692E-2</v>
      </c>
      <c r="K28" s="101">
        <v>5.2883909366550257E-3</v>
      </c>
      <c r="L28" s="101" t="s">
        <v>270</v>
      </c>
      <c r="N28" s="101">
        <v>1.7773126565984693E-2</v>
      </c>
      <c r="O28" s="101">
        <v>2.0336728503874642E-2</v>
      </c>
      <c r="P28" s="101">
        <v>1.9910832564108225E-2</v>
      </c>
      <c r="Q28" s="101">
        <v>2.2108977324150136E-2</v>
      </c>
      <c r="R28" s="101" t="s">
        <v>270</v>
      </c>
    </row>
    <row r="29" spans="1:18" s="32" customFormat="1" ht="13.8" x14ac:dyDescent="0.3">
      <c r="A29" s="46" t="s">
        <v>277</v>
      </c>
      <c r="B29" s="100">
        <v>5.5055555555555554E-4</v>
      </c>
      <c r="C29" s="100">
        <v>5.5442708333333331E-4</v>
      </c>
      <c r="D29" s="100">
        <v>5.5743055555555559E-4</v>
      </c>
      <c r="E29" s="100">
        <v>5.5603009259259256E-4</v>
      </c>
      <c r="F29" s="100">
        <v>5.9491158693415649E-4</v>
      </c>
      <c r="H29" s="100">
        <v>5.5175636574074079E-4</v>
      </c>
      <c r="I29" s="100">
        <v>5.6072337962962955E-4</v>
      </c>
      <c r="J29" s="100">
        <v>5.6923611111111107E-4</v>
      </c>
      <c r="K29" s="100">
        <v>5.828954475308642E-4</v>
      </c>
      <c r="L29" s="100" t="s">
        <v>270</v>
      </c>
      <c r="N29" s="100">
        <v>5.6587094907407411E-4</v>
      </c>
      <c r="O29" s="100">
        <v>5.7530092592592583E-4</v>
      </c>
      <c r="P29" s="100">
        <v>5.779427083333333E-4</v>
      </c>
      <c r="Q29" s="100">
        <v>6.0938400205761323E-4</v>
      </c>
      <c r="R29" s="100" t="s">
        <v>270</v>
      </c>
    </row>
    <row r="30" spans="1:18" s="32" customFormat="1" ht="13.8" x14ac:dyDescent="0.3">
      <c r="A30" s="46"/>
      <c r="B30" s="101">
        <v>2.415489404641763E-2</v>
      </c>
      <c r="C30" s="101">
        <v>1.909086164605181E-2</v>
      </c>
      <c r="D30" s="101">
        <v>2.2071342552219712E-2</v>
      </c>
      <c r="E30" s="101">
        <v>1.4709657722916721E-3</v>
      </c>
      <c r="F30" s="101">
        <v>0</v>
      </c>
      <c r="H30" s="101">
        <v>9.0143366358855503E-3</v>
      </c>
      <c r="I30" s="101">
        <v>1.4502264988087077E-2</v>
      </c>
      <c r="J30" s="101">
        <v>1.1792134816307982E-2</v>
      </c>
      <c r="K30" s="101">
        <v>2.5174320670609266E-2</v>
      </c>
      <c r="L30" s="101" t="s">
        <v>270</v>
      </c>
      <c r="N30" s="101">
        <v>8.2276119928256959E-3</v>
      </c>
      <c r="O30" s="101">
        <v>8.8673427524052165E-3</v>
      </c>
      <c r="P30" s="101">
        <v>7.9170457872655003E-3</v>
      </c>
      <c r="Q30" s="101">
        <v>3.6039754285992744E-2</v>
      </c>
      <c r="R30" s="101" t="s">
        <v>270</v>
      </c>
    </row>
    <row r="31" spans="1:18" s="32" customFormat="1" ht="13.8" x14ac:dyDescent="0.3">
      <c r="A31" s="46" t="s">
        <v>278</v>
      </c>
      <c r="B31" s="100">
        <v>1.4152430555555557E-3</v>
      </c>
      <c r="C31" s="100">
        <v>1.4321064814814815E-3</v>
      </c>
      <c r="D31" s="100">
        <v>1.4559529320987653E-3</v>
      </c>
      <c r="E31" s="100">
        <v>1.4118364197530863E-3</v>
      </c>
      <c r="F31" s="100" t="s">
        <v>270</v>
      </c>
      <c r="H31" s="100">
        <v>5.1185185185185177E-4</v>
      </c>
      <c r="I31" s="100">
        <v>5.3148148148148141E-4</v>
      </c>
      <c r="J31" s="100">
        <v>5.3199074074074075E-4</v>
      </c>
      <c r="K31" s="100">
        <v>6.0861111111111109E-4</v>
      </c>
      <c r="L31" s="100" t="s">
        <v>270</v>
      </c>
      <c r="N31" s="100">
        <v>5.2953703703703702E-4</v>
      </c>
      <c r="O31" s="100">
        <v>5.384722222222222E-4</v>
      </c>
      <c r="P31" s="100">
        <v>5.5185185185185187E-4</v>
      </c>
      <c r="Q31" s="100">
        <v>1.4733468364197531E-3</v>
      </c>
      <c r="R31" s="100" t="s">
        <v>270</v>
      </c>
    </row>
    <row r="32" spans="1:18" s="32" customFormat="1" ht="13.8" x14ac:dyDescent="0.3">
      <c r="A32" s="46"/>
      <c r="B32" s="101">
        <v>9.2772580843421288E-3</v>
      </c>
      <c r="C32" s="101">
        <v>1.1102226729005654E-2</v>
      </c>
      <c r="D32" s="101">
        <v>1.7311136007278089E-2</v>
      </c>
      <c r="E32" s="101">
        <v>0</v>
      </c>
      <c r="F32" s="101" t="s">
        <v>270</v>
      </c>
      <c r="H32" s="101">
        <v>0</v>
      </c>
      <c r="I32" s="101">
        <v>0</v>
      </c>
      <c r="J32" s="101">
        <v>0</v>
      </c>
      <c r="K32" s="101">
        <v>0</v>
      </c>
      <c r="L32" s="101" t="s">
        <v>270</v>
      </c>
      <c r="N32" s="101">
        <v>0</v>
      </c>
      <c r="O32" s="101">
        <v>0</v>
      </c>
      <c r="P32" s="101">
        <v>0</v>
      </c>
      <c r="Q32" s="101">
        <v>1.7830980789046141E-2</v>
      </c>
      <c r="R32" s="101" t="s">
        <v>270</v>
      </c>
    </row>
    <row r="33" spans="1:18" s="32" customFormat="1" ht="13.8" x14ac:dyDescent="0.3">
      <c r="A33" s="46" t="s">
        <v>273</v>
      </c>
      <c r="B33" s="100">
        <v>4.5527777777777786E-4</v>
      </c>
      <c r="C33" s="100">
        <v>4.6153067129629631E-4</v>
      </c>
      <c r="D33" s="100">
        <v>4.6590277777777776E-4</v>
      </c>
      <c r="E33" s="100">
        <v>4.640852194787379E-4</v>
      </c>
      <c r="F33" s="100">
        <v>4.7574095507544586E-4</v>
      </c>
      <c r="H33" s="100">
        <v>4.6501929012345678E-4</v>
      </c>
      <c r="I33" s="100">
        <v>4.6997299382716047E-4</v>
      </c>
      <c r="J33" s="100">
        <v>4.7462962962962964E-4</v>
      </c>
      <c r="K33" s="100">
        <v>4.8589120370370371E-4</v>
      </c>
      <c r="L33" s="100">
        <v>5.1189107510288062E-4</v>
      </c>
      <c r="N33" s="100">
        <v>4.8180844907407412E-4</v>
      </c>
      <c r="O33" s="100">
        <v>4.8525752314814818E-4</v>
      </c>
      <c r="P33" s="100">
        <v>4.9083333333333336E-4</v>
      </c>
      <c r="Q33" s="100">
        <v>5.0261102537722899E-4</v>
      </c>
      <c r="R33" s="100">
        <v>5.1712277091906726E-4</v>
      </c>
    </row>
    <row r="34" spans="1:18" s="32" customFormat="1" ht="13.8" x14ac:dyDescent="0.3">
      <c r="B34" s="101">
        <v>2.1666201365118917E-2</v>
      </c>
      <c r="C34" s="101">
        <v>1.7715341716731874E-2</v>
      </c>
      <c r="D34" s="101">
        <v>1.668179861151986E-2</v>
      </c>
      <c r="E34" s="101">
        <v>1.6586440306188419E-2</v>
      </c>
      <c r="F34" s="101">
        <v>1.7254713631878485E-2</v>
      </c>
      <c r="H34" s="101">
        <v>3.7470173028086918E-3</v>
      </c>
      <c r="I34" s="101">
        <v>2.0757336403173115E-3</v>
      </c>
      <c r="J34" s="101">
        <v>2.7312469798803714E-3</v>
      </c>
      <c r="K34" s="101">
        <v>2.4843651055747522E-2</v>
      </c>
      <c r="L34" s="101">
        <v>8.2339626149206813E-3</v>
      </c>
      <c r="N34" s="101">
        <v>1.4187233302192313E-2</v>
      </c>
      <c r="O34" s="101">
        <v>1.2452197111637763E-2</v>
      </c>
      <c r="P34" s="101">
        <v>1.5634491742684862E-2</v>
      </c>
      <c r="Q34" s="101">
        <v>2.3706861339130102E-2</v>
      </c>
      <c r="R34" s="101">
        <v>2.378195614263991E-2</v>
      </c>
    </row>
    <row r="35" spans="1:18" s="32" customFormat="1" ht="13.8" x14ac:dyDescent="0.3"/>
    <row r="36" spans="1:18" s="32" customFormat="1" ht="13.8" x14ac:dyDescent="0.3"/>
    <row r="37" spans="1:18" s="32" customFormat="1" ht="13.8" x14ac:dyDescent="0.3"/>
    <row r="38" spans="1:18" s="32" customFormat="1" ht="13.8" x14ac:dyDescent="0.3"/>
    <row r="39" spans="1:18" s="32" customFormat="1" ht="13.8" x14ac:dyDescent="0.3"/>
    <row r="40" spans="1:18" s="32" customFormat="1" ht="13.8" x14ac:dyDescent="0.3"/>
    <row r="41" spans="1:18" s="32" customFormat="1" ht="13.8" x14ac:dyDescent="0.3"/>
    <row r="42" spans="1:18" s="32" customFormat="1" ht="13.8" x14ac:dyDescent="0.3"/>
    <row r="43" spans="1:18" s="32" customFormat="1" ht="13.8" x14ac:dyDescent="0.3"/>
    <row r="44" spans="1:18" s="32" customFormat="1" ht="13.8" x14ac:dyDescent="0.3"/>
    <row r="45" spans="1:18" s="32" customFormat="1" ht="13.8" x14ac:dyDescent="0.3"/>
    <row r="46" spans="1:18" s="32" customFormat="1" ht="13.8" x14ac:dyDescent="0.3"/>
    <row r="47" spans="1:18" s="32" customFormat="1" ht="13.8" x14ac:dyDescent="0.3"/>
    <row r="48" spans="1:18" s="32" customFormat="1" ht="13.8" x14ac:dyDescent="0.3"/>
    <row r="49" s="32" customFormat="1" ht="13.8" x14ac:dyDescent="0.3"/>
    <row r="50" s="32" customFormat="1" ht="13.8" x14ac:dyDescent="0.3"/>
    <row r="51" s="32" customFormat="1" ht="13.8" x14ac:dyDescent="0.3"/>
    <row r="52" s="32" customFormat="1" ht="13.8" x14ac:dyDescent="0.3"/>
    <row r="53" s="32" customFormat="1" ht="13.8" x14ac:dyDescent="0.3"/>
    <row r="54" s="32" customFormat="1" ht="13.8" x14ac:dyDescent="0.3"/>
    <row r="55" s="32" customFormat="1" ht="13.8" x14ac:dyDescent="0.3"/>
    <row r="56" s="32" customFormat="1" ht="13.8" x14ac:dyDescent="0.3"/>
    <row r="57" s="32" customFormat="1" ht="13.8" x14ac:dyDescent="0.3"/>
    <row r="58" s="32" customFormat="1" ht="13.8" x14ac:dyDescent="0.3"/>
    <row r="59" s="32" customFormat="1" ht="13.8" x14ac:dyDescent="0.3"/>
    <row r="60" s="32" customFormat="1" ht="13.8" x14ac:dyDescent="0.3"/>
    <row r="61" s="32" customFormat="1" ht="13.8" x14ac:dyDescent="0.3"/>
    <row r="62" s="32" customFormat="1" ht="13.8" x14ac:dyDescent="0.3"/>
    <row r="63" s="32" customFormat="1" ht="13.8" x14ac:dyDescent="0.3"/>
    <row r="64" s="32" customFormat="1" ht="13.8" x14ac:dyDescent="0.3"/>
  </sheetData>
  <mergeCells count="10">
    <mergeCell ref="B20:R20"/>
    <mergeCell ref="B21:F21"/>
    <mergeCell ref="H21:L21"/>
    <mergeCell ref="N21:R21"/>
    <mergeCell ref="A1:R1"/>
    <mergeCell ref="C3:D3"/>
    <mergeCell ref="B5:R5"/>
    <mergeCell ref="B6:F6"/>
    <mergeCell ref="H6:L6"/>
    <mergeCell ref="N6:R6"/>
  </mergeCells>
  <pageMargins left="0.25" right="0.25" top="0.75" bottom="0.75" header="0.3" footer="0.3"/>
  <pageSetup paperSize="9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682BD1-20FE-490E-9BA7-68CCE57FAB5D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Event SetUp</vt:lpstr>
      <vt:lpstr>1</vt:lpstr>
      <vt:lpstr>2</vt:lpstr>
      <vt:lpstr>3</vt:lpstr>
      <vt:lpstr>Rpt-1</vt:lpstr>
      <vt:lpstr>Rpt-2</vt:lpstr>
      <vt:lpstr>Rpt-3</vt:lpstr>
      <vt:lpstr>Lookup Table</vt:lpstr>
      <vt:lpstr>Enviromentals</vt:lpstr>
      <vt:lpstr>Athlete Names</vt:lpstr>
      <vt:lpstr>Performance Times</vt:lpstr>
      <vt:lpstr>AthleteNames</vt:lpstr>
      <vt:lpstr>BooleanValue</vt:lpstr>
      <vt:lpstr>'1'!Print_Area</vt:lpstr>
      <vt:lpstr>'2'!Print_Area</vt:lpstr>
      <vt:lpstr>'3'!Print_Area</vt:lpstr>
      <vt:lpstr>'Rpt-1'!Print_Area</vt:lpstr>
      <vt:lpstr>'Rpt-2'!Print_Area</vt:lpstr>
      <vt:lpstr>'Rpt-3'!Print_Area</vt:lpstr>
      <vt:lpstr>SELECT</vt:lpstr>
      <vt:lpstr>State_Championships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Beach</dc:creator>
  <cp:lastModifiedBy>Aaron Beach</cp:lastModifiedBy>
  <cp:lastPrinted>2020-02-16T03:21:59Z</cp:lastPrinted>
  <dcterms:created xsi:type="dcterms:W3CDTF">2016-04-20T08:08:24Z</dcterms:created>
  <dcterms:modified xsi:type="dcterms:W3CDTF">2020-02-16T03:24:43Z</dcterms:modified>
</cp:coreProperties>
</file>